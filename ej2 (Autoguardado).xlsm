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utn\laboratorio 1\tp\excel4\tpmacros\"/>
    </mc:Choice>
  </mc:AlternateContent>
  <bookViews>
    <workbookView xWindow="0" yWindow="0" windowWidth="20490" windowHeight="7650"/>
  </bookViews>
  <sheets>
    <sheet name="Hoja1" sheetId="1" r:id="rId1"/>
    <sheet name="Hoja2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G5" i="1"/>
  <c r="B5" i="1" s="1"/>
  <c r="D5" i="1" s="1"/>
  <c r="G4" i="1"/>
  <c r="B4" i="1" s="1"/>
  <c r="D4" i="1" s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4" i="1"/>
  <c r="G6" i="1"/>
  <c r="B6" i="1" s="1"/>
  <c r="D6" i="1" s="1"/>
  <c r="G7" i="1"/>
  <c r="B7" i="1" s="1"/>
  <c r="D7" i="1" s="1"/>
  <c r="G8" i="1"/>
  <c r="B8" i="1" s="1"/>
  <c r="D8" i="1" s="1"/>
  <c r="G9" i="1"/>
  <c r="B9" i="1" s="1"/>
  <c r="D9" i="1" s="1"/>
  <c r="G10" i="1"/>
  <c r="B10" i="1" s="1"/>
  <c r="D10" i="1" s="1"/>
  <c r="G11" i="1"/>
  <c r="B11" i="1" s="1"/>
  <c r="D11" i="1" s="1"/>
  <c r="G12" i="1"/>
  <c r="B12" i="1" s="1"/>
  <c r="D12" i="1" s="1"/>
  <c r="G13" i="1"/>
  <c r="B13" i="1" s="1"/>
  <c r="D13" i="1" s="1"/>
  <c r="G14" i="1"/>
  <c r="B14" i="1" s="1"/>
  <c r="D14" i="1" s="1"/>
  <c r="G15" i="1"/>
  <c r="B15" i="1" s="1"/>
  <c r="D15" i="1" s="1"/>
  <c r="G16" i="1"/>
  <c r="B16" i="1" s="1"/>
  <c r="D16" i="1" s="1"/>
  <c r="G17" i="1"/>
  <c r="B17" i="1" s="1"/>
  <c r="D17" i="1" s="1"/>
  <c r="G18" i="1"/>
  <c r="B18" i="1" s="1"/>
  <c r="D18" i="1" s="1"/>
  <c r="G19" i="1"/>
  <c r="B19" i="1" s="1"/>
  <c r="D19" i="1" s="1"/>
  <c r="G20" i="1"/>
  <c r="B20" i="1" s="1"/>
  <c r="D20" i="1" s="1"/>
  <c r="G21" i="1"/>
  <c r="B21" i="1" s="1"/>
  <c r="D21" i="1" s="1"/>
  <c r="G22" i="1"/>
  <c r="B22" i="1" s="1"/>
  <c r="D22" i="1" s="1"/>
  <c r="G23" i="1"/>
  <c r="B23" i="1" s="1"/>
  <c r="D23" i="1" s="1"/>
  <c r="G24" i="1"/>
  <c r="B24" i="1" s="1"/>
  <c r="D24" i="1" s="1"/>
  <c r="G25" i="1"/>
  <c r="B25" i="1" s="1"/>
  <c r="D25" i="1" s="1"/>
  <c r="G26" i="1"/>
  <c r="B26" i="1" s="1"/>
  <c r="D26" i="1" s="1"/>
  <c r="G27" i="1"/>
  <c r="B27" i="1" s="1"/>
  <c r="D27" i="1" s="1"/>
  <c r="G28" i="1"/>
  <c r="B28" i="1" s="1"/>
  <c r="D28" i="1" s="1"/>
  <c r="G29" i="1"/>
  <c r="B29" i="1" s="1"/>
  <c r="D29" i="1" s="1"/>
  <c r="G30" i="1"/>
  <c r="B30" i="1" s="1"/>
  <c r="D30" i="1" s="1"/>
  <c r="G31" i="1"/>
  <c r="B31" i="1" s="1"/>
  <c r="D31" i="1" s="1"/>
  <c r="G32" i="1"/>
  <c r="B32" i="1" s="1"/>
  <c r="D32" i="1" s="1"/>
  <c r="G33" i="1"/>
  <c r="B33" i="1" s="1"/>
  <c r="D3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4" i="1"/>
  <c r="M6" i="1" l="1"/>
  <c r="M5" i="1"/>
  <c r="M4" i="1"/>
  <c r="E4" i="1"/>
  <c r="F4" i="1" s="1"/>
  <c r="E32" i="1"/>
  <c r="F32" i="1" s="1"/>
  <c r="E30" i="1"/>
  <c r="F30" i="1" s="1"/>
  <c r="E28" i="1"/>
  <c r="F28" i="1" s="1"/>
  <c r="E26" i="1"/>
  <c r="F26" i="1" s="1"/>
  <c r="E24" i="1"/>
  <c r="F24" i="1" s="1"/>
  <c r="E22" i="1"/>
  <c r="F22" i="1" s="1"/>
  <c r="E20" i="1"/>
  <c r="F20" i="1" s="1"/>
  <c r="E18" i="1"/>
  <c r="F18" i="1" s="1"/>
  <c r="E16" i="1"/>
  <c r="F16" i="1" s="1"/>
  <c r="E14" i="1"/>
  <c r="F14" i="1" s="1"/>
  <c r="E12" i="1"/>
  <c r="F12" i="1" s="1"/>
  <c r="E10" i="1"/>
  <c r="F10" i="1" s="1"/>
  <c r="E8" i="1"/>
  <c r="F8" i="1" s="1"/>
  <c r="E6" i="1"/>
  <c r="F6" i="1" s="1"/>
  <c r="E33" i="1"/>
  <c r="F33" i="1" s="1"/>
  <c r="E31" i="1"/>
  <c r="F31" i="1" s="1"/>
  <c r="E29" i="1"/>
  <c r="F29" i="1" s="1"/>
  <c r="E27" i="1"/>
  <c r="F27" i="1" s="1"/>
  <c r="E25" i="1"/>
  <c r="F25" i="1" s="1"/>
  <c r="E23" i="1"/>
  <c r="F23" i="1" s="1"/>
  <c r="E21" i="1"/>
  <c r="F21" i="1" s="1"/>
  <c r="E19" i="1"/>
  <c r="F19" i="1" s="1"/>
  <c r="E17" i="1"/>
  <c r="F17" i="1" s="1"/>
  <c r="E15" i="1"/>
  <c r="F15" i="1" s="1"/>
  <c r="E13" i="1"/>
  <c r="F13" i="1" s="1"/>
  <c r="E11" i="1"/>
  <c r="F11" i="1" s="1"/>
  <c r="E9" i="1"/>
  <c r="F9" i="1" s="1"/>
  <c r="E7" i="1"/>
  <c r="F7" i="1" s="1"/>
  <c r="E5" i="1"/>
  <c r="F5" i="1" s="1"/>
  <c r="J5" i="1" l="1"/>
  <c r="J7" i="1"/>
  <c r="J6" i="1"/>
  <c r="J4" i="1"/>
</calcChain>
</file>

<file path=xl/sharedStrings.xml><?xml version="1.0" encoding="utf-8"?>
<sst xmlns="http://schemas.openxmlformats.org/spreadsheetml/2006/main" count="16" uniqueCount="14">
  <si>
    <t>Código de empleado</t>
  </si>
  <si>
    <t>Turno</t>
  </si>
  <si>
    <t>Horas diarias</t>
  </si>
  <si>
    <t>Condición</t>
  </si>
  <si>
    <t>Consumo diario</t>
  </si>
  <si>
    <t>Consumo Mensual</t>
  </si>
  <si>
    <t>Planilla de consumo de energía por empleado</t>
  </si>
  <si>
    <t>Código de Empleado</t>
  </si>
  <si>
    <t>Consumo total</t>
  </si>
  <si>
    <t>aux</t>
  </si>
  <si>
    <t>M</t>
  </si>
  <si>
    <t>T</t>
  </si>
  <si>
    <t>N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</si>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</sst>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3" borderId="2" applyNumberFormat="0" applyAlignment="0" applyProtection="0"/>
    <xf numFmtId="0" fontId="2" fillId="4" borderId="3" applyNumberFormat="0" applyFont="0" applyAlignment="0" applyProtection="0"/>
  </cellStyleXfs>
  <cellXfs count="8">
    <xf numFmtId="0" fontId="0" fillId="0" borderId="0" xfId="0"/>
    <xf numFmtId="0" fontId="1" fillId="2" borderId="1" xfId="1"/>
    <xf numFmtId="0" fontId="1" fillId="2" borderId="1" xfId="1" applyAlignment="1">
      <alignment horizontal="center"/>
    </xf>
    <xf numFmtId="0" fontId="1" fillId="2" borderId="4" xfId="1" applyBorder="1" applyAlignment="1">
      <alignment horizontal="center"/>
    </xf>
    <xf numFmtId="0" fontId="0" fillId="0" borderId="0" xfId="0" applyAlignment="1">
      <alignment horizontal="center"/>
    </xf>
    <xf numFmtId="0" fontId="3" fillId="3" borderId="2" xfId="2" applyAlignment="1">
      <alignment horizontal="center"/>
    </xf>
    <xf numFmtId="0" fontId="0" fillId="4" borderId="3" xfId="3" applyFont="1" applyAlignment="1">
      <alignment horizontal="center"/>
    </xf>
    <xf numFmtId="0" fontId="1" fillId="2" borderId="1" xfId="1" applyAlignment="1">
      <alignment horizontal="center"/>
    </xf>
  </cellXfs>
  <cellStyles count="4">
    <cellStyle name="Entrada" xfId="2" builtinId="20"/>
    <cellStyle name="Normal" xfId="0" builtinId="0"/>
    <cellStyle name="Notas" xfId="3" builtinId="10"/>
    <cellStyle name="Sali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3"/>
  <sheetViews>
    <sheetView tabSelected="1" workbookViewId="0">
      <selection activeCell="H14" sqref="H14"/>
    </sheetView>
  </sheetViews>
  <sheetFormatPr baseColWidth="10" defaultRowHeight="15" x14ac:dyDescent="0.25"/>
  <cols>
    <col min="1" max="1" width="19.5703125" customWidth="1"/>
    <col min="2" max="2" width="12" bestFit="1" customWidth="1"/>
    <col min="3" max="3" width="12.28515625" customWidth="1"/>
    <col min="4" max="4" width="14.85546875" customWidth="1"/>
    <col min="5" max="5" width="15" customWidth="1"/>
    <col min="6" max="6" width="17.28515625" customWidth="1"/>
    <col min="9" max="9" width="19.28515625" customWidth="1"/>
    <col min="10" max="10" width="19.42578125" customWidth="1"/>
    <col min="11" max="11" width="14" customWidth="1"/>
    <col min="13" max="13" width="15.42578125" customWidth="1"/>
  </cols>
  <sheetData>
    <row r="1" spans="1:13" x14ac:dyDescent="0.25">
      <c r="A1" s="7" t="s">
        <v>6</v>
      </c>
      <c r="B1" s="7"/>
      <c r="C1" s="7"/>
      <c r="D1" s="7"/>
      <c r="E1" s="7"/>
      <c r="F1" s="7"/>
    </row>
    <row r="2" spans="1:13" x14ac:dyDescent="0.25">
      <c r="A2" s="1"/>
      <c r="B2" s="1"/>
      <c r="C2" s="1"/>
      <c r="D2" s="1"/>
      <c r="E2" s="1"/>
      <c r="F2" s="1"/>
    </row>
    <row r="3" spans="1:13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3" t="s">
        <v>9</v>
      </c>
      <c r="I3" s="5" t="str">
        <f>A3</f>
        <v>Código de empleado</v>
      </c>
      <c r="J3" s="5" t="s">
        <v>8</v>
      </c>
      <c r="L3" s="6" t="s">
        <v>1</v>
      </c>
      <c r="M3" s="6" t="s">
        <v>13</v>
      </c>
    </row>
    <row r="4" spans="1:13" x14ac:dyDescent="0.25">
      <c r="A4" s="2">
        <f ca="1">RANDBETWEEN(1,4)</f>
        <v>2</v>
      </c>
      <c r="B4" s="2" t="str">
        <f t="shared" ref="B4:B33" ca="1" si="0">IF(G4=0,"M",IF(G4=1,"T","N"))</f>
        <v>N</v>
      </c>
      <c r="C4" s="2">
        <f ca="1">RANDBETWEEN(3,7)</f>
        <v>7</v>
      </c>
      <c r="D4" s="2" t="str">
        <f ca="1">IF(B4="N","Gasto completo","Gasto reducido")</f>
        <v>Gasto completo</v>
      </c>
      <c r="E4" s="2">
        <f ca="1">IF(A4=1,Hoja2!$B$2,IF(A4=2,Hoja2!$B$3,IF(A4=3,Hoja2!$B$4,Hoja2!$B$5)))*C4</f>
        <v>3500</v>
      </c>
      <c r="F4" s="2">
        <f ca="1">E4*28</f>
        <v>98000</v>
      </c>
      <c r="G4" s="4">
        <f ca="1">RANDBETWEEN(0,2)</f>
        <v>2</v>
      </c>
      <c r="I4" s="5">
        <v>1</v>
      </c>
      <c r="J4" s="5">
        <f ca="1">SUMIF($A$4:$A$33,"=1",$F$4:$F$33)</f>
        <v>131600</v>
      </c>
      <c r="L4" s="6" t="s">
        <v>10</v>
      </c>
      <c r="M4" s="6">
        <f ca="1">COUNTIF($B$4:$B$33,"=M")</f>
        <v>12</v>
      </c>
    </row>
    <row r="5" spans="1:13" x14ac:dyDescent="0.25">
      <c r="A5" s="2">
        <f t="shared" ref="A5:A33" ca="1" si="1">RANDBETWEEN(1,4)</f>
        <v>4</v>
      </c>
      <c r="B5" s="2" t="str">
        <f t="shared" ca="1" si="0"/>
        <v>M</v>
      </c>
      <c r="C5" s="2">
        <f t="shared" ref="C5:C33" ca="1" si="2">RANDBETWEEN(3,7)</f>
        <v>5</v>
      </c>
      <c r="D5" s="2" t="str">
        <f t="shared" ref="D5:D33" ca="1" si="3">IF(B5="N","Gasto completo","Gasto reducido")</f>
        <v>Gasto reducido</v>
      </c>
      <c r="E5" s="2">
        <f ca="1">IF(A5=1,Hoja2!$B$2,IF(A5=2,Hoja2!$B$3,IF(A5=3,Hoja2!$B$4,Hoja2!$B$5)))*C5</f>
        <v>3000</v>
      </c>
      <c r="F5" s="2">
        <f t="shared" ref="F5:F33" ca="1" si="4">E5*28</f>
        <v>84000</v>
      </c>
      <c r="G5" s="4">
        <f t="shared" ref="G5:G33" ca="1" si="5">RANDBETWEEN(0,2)</f>
        <v>0</v>
      </c>
      <c r="I5" s="5">
        <v>2</v>
      </c>
      <c r="J5" s="5">
        <f ca="1">SUMIF($A$4:$A$33,"=2",$F$4:$F$33)</f>
        <v>574000</v>
      </c>
      <c r="L5" s="6" t="s">
        <v>11</v>
      </c>
      <c r="M5" s="6">
        <f ca="1">COUNTIF($B$4:$B$33,"=T")</f>
        <v>6</v>
      </c>
    </row>
    <row r="6" spans="1:13" x14ac:dyDescent="0.25">
      <c r="A6" s="2">
        <f t="shared" ca="1" si="1"/>
        <v>1</v>
      </c>
      <c r="B6" s="2" t="str">
        <f t="shared" ca="1" si="0"/>
        <v>N</v>
      </c>
      <c r="C6" s="2">
        <f t="shared" ca="1" si="2"/>
        <v>5</v>
      </c>
      <c r="D6" s="2" t="str">
        <f t="shared" ca="1" si="3"/>
        <v>Gasto completo</v>
      </c>
      <c r="E6" s="2">
        <f ca="1">IF(A6=1,Hoja2!$B$2,IF(A6=2,Hoja2!$B$3,IF(A6=3,Hoja2!$B$4,Hoja2!$B$5)))*C6</f>
        <v>500</v>
      </c>
      <c r="F6" s="2">
        <f t="shared" ca="1" si="4"/>
        <v>14000</v>
      </c>
      <c r="G6" s="4">
        <f t="shared" ca="1" si="5"/>
        <v>2</v>
      </c>
      <c r="I6" s="5">
        <v>3</v>
      </c>
      <c r="J6" s="5">
        <f ca="1">SUMIF($A$4:$A$33,"=3",$F$4:$F$33)</f>
        <v>241920</v>
      </c>
      <c r="L6" s="6" t="s">
        <v>12</v>
      </c>
      <c r="M6" s="6">
        <f ca="1">COUNTIF($B$4:$B$33,"=N")</f>
        <v>12</v>
      </c>
    </row>
    <row r="7" spans="1:13" x14ac:dyDescent="0.25">
      <c r="A7" s="2">
        <f t="shared" ca="1" si="1"/>
        <v>3</v>
      </c>
      <c r="B7" s="2" t="str">
        <f t="shared" ca="1" si="0"/>
        <v>M</v>
      </c>
      <c r="C7" s="2">
        <f t="shared" ca="1" si="2"/>
        <v>6</v>
      </c>
      <c r="D7" s="2" t="str">
        <f t="shared" ca="1" si="3"/>
        <v>Gasto reducido</v>
      </c>
      <c r="E7" s="2">
        <f ca="1">IF(A7=1,Hoja2!$B$2,IF(A7=2,Hoja2!$B$3,IF(A7=3,Hoja2!$B$4,Hoja2!$B$5)))*C7</f>
        <v>2880</v>
      </c>
      <c r="F7" s="2">
        <f t="shared" ca="1" si="4"/>
        <v>80640</v>
      </c>
      <c r="G7" s="4">
        <f t="shared" ca="1" si="5"/>
        <v>0</v>
      </c>
      <c r="I7" s="5">
        <v>4</v>
      </c>
      <c r="J7" s="5">
        <f ca="1">SUMIF($A$4:$A$33,"=4",$F$4:$F$33)</f>
        <v>571200</v>
      </c>
    </row>
    <row r="8" spans="1:13" x14ac:dyDescent="0.25">
      <c r="A8" s="2">
        <f t="shared" ca="1" si="1"/>
        <v>4</v>
      </c>
      <c r="B8" s="2" t="str">
        <f t="shared" ca="1" si="0"/>
        <v>M</v>
      </c>
      <c r="C8" s="2">
        <f t="shared" ca="1" si="2"/>
        <v>3</v>
      </c>
      <c r="D8" s="2" t="str">
        <f t="shared" ca="1" si="3"/>
        <v>Gasto reducido</v>
      </c>
      <c r="E8" s="2">
        <f ca="1">IF(A8=1,Hoja2!$B$2,IF(A8=2,Hoja2!$B$3,IF(A8=3,Hoja2!$B$4,Hoja2!$B$5)))*C8</f>
        <v>1800</v>
      </c>
      <c r="F8" s="2">
        <f t="shared" ca="1" si="4"/>
        <v>50400</v>
      </c>
      <c r="G8" s="4">
        <f t="shared" ca="1" si="5"/>
        <v>0</v>
      </c>
    </row>
    <row r="9" spans="1:13" x14ac:dyDescent="0.25">
      <c r="A9" s="2">
        <f t="shared" ca="1" si="1"/>
        <v>2</v>
      </c>
      <c r="B9" s="2" t="str">
        <f t="shared" ca="1" si="0"/>
        <v>M</v>
      </c>
      <c r="C9" s="2">
        <f t="shared" ca="1" si="2"/>
        <v>3</v>
      </c>
      <c r="D9" s="2" t="str">
        <f t="shared" ca="1" si="3"/>
        <v>Gasto reducido</v>
      </c>
      <c r="E9" s="2">
        <f ca="1">IF(A9=1,Hoja2!$B$2,IF(A9=2,Hoja2!$B$3,IF(A9=3,Hoja2!$B$4,Hoja2!$B$5)))*C9</f>
        <v>1500</v>
      </c>
      <c r="F9" s="2">
        <f t="shared" ca="1" si="4"/>
        <v>42000</v>
      </c>
      <c r="G9" s="4">
        <f t="shared" ca="1" si="5"/>
        <v>0</v>
      </c>
    </row>
    <row r="10" spans="1:13" x14ac:dyDescent="0.25">
      <c r="A10" s="2">
        <f t="shared" ca="1" si="1"/>
        <v>4</v>
      </c>
      <c r="B10" s="2" t="str">
        <f t="shared" ca="1" si="0"/>
        <v>T</v>
      </c>
      <c r="C10" s="2">
        <f t="shared" ca="1" si="2"/>
        <v>4</v>
      </c>
      <c r="D10" s="2" t="str">
        <f t="shared" ca="1" si="3"/>
        <v>Gasto reducido</v>
      </c>
      <c r="E10" s="2">
        <f ca="1">IF(A10=1,Hoja2!$B$2,IF(A10=2,Hoja2!$B$3,IF(A10=3,Hoja2!$B$4,Hoja2!$B$5)))*C10</f>
        <v>2400</v>
      </c>
      <c r="F10" s="2">
        <f t="shared" ca="1" si="4"/>
        <v>67200</v>
      </c>
      <c r="G10" s="4">
        <f t="shared" ca="1" si="5"/>
        <v>1</v>
      </c>
    </row>
    <row r="11" spans="1:13" x14ac:dyDescent="0.25">
      <c r="A11" s="2">
        <f t="shared" ca="1" si="1"/>
        <v>2</v>
      </c>
      <c r="B11" s="2" t="str">
        <f t="shared" ca="1" si="0"/>
        <v>T</v>
      </c>
      <c r="C11" s="2">
        <f t="shared" ca="1" si="2"/>
        <v>6</v>
      </c>
      <c r="D11" s="2" t="str">
        <f t="shared" ca="1" si="3"/>
        <v>Gasto reducido</v>
      </c>
      <c r="E11" s="2">
        <f ca="1">IF(A11=1,Hoja2!$B$2,IF(A11=2,Hoja2!$B$3,IF(A11=3,Hoja2!$B$4,Hoja2!$B$5)))*C11</f>
        <v>3000</v>
      </c>
      <c r="F11" s="2">
        <f t="shared" ca="1" si="4"/>
        <v>84000</v>
      </c>
      <c r="G11" s="4">
        <f t="shared" ca="1" si="5"/>
        <v>1</v>
      </c>
    </row>
    <row r="12" spans="1:13" x14ac:dyDescent="0.25">
      <c r="A12" s="2">
        <f t="shared" ca="1" si="1"/>
        <v>2</v>
      </c>
      <c r="B12" s="2" t="str">
        <f t="shared" ca="1" si="0"/>
        <v>N</v>
      </c>
      <c r="C12" s="2">
        <f t="shared" ca="1" si="2"/>
        <v>6</v>
      </c>
      <c r="D12" s="2" t="str">
        <f t="shared" ca="1" si="3"/>
        <v>Gasto completo</v>
      </c>
      <c r="E12" s="2">
        <f ca="1">IF(A12=1,Hoja2!$B$2,IF(A12=2,Hoja2!$B$3,IF(A12=3,Hoja2!$B$4,Hoja2!$B$5)))*C12</f>
        <v>3000</v>
      </c>
      <c r="F12" s="2">
        <f t="shared" ca="1" si="4"/>
        <v>84000</v>
      </c>
      <c r="G12" s="4">
        <f t="shared" ca="1" si="5"/>
        <v>2</v>
      </c>
    </row>
    <row r="13" spans="1:13" x14ac:dyDescent="0.25">
      <c r="A13" s="2">
        <f t="shared" ca="1" si="1"/>
        <v>4</v>
      </c>
      <c r="B13" s="2" t="str">
        <f t="shared" ca="1" si="0"/>
        <v>M</v>
      </c>
      <c r="C13" s="2">
        <f t="shared" ca="1" si="2"/>
        <v>3</v>
      </c>
      <c r="D13" s="2" t="str">
        <f t="shared" ca="1" si="3"/>
        <v>Gasto reducido</v>
      </c>
      <c r="E13" s="2">
        <f ca="1">IF(A13=1,Hoja2!$B$2,IF(A13=2,Hoja2!$B$3,IF(A13=3,Hoja2!$B$4,Hoja2!$B$5)))*C13</f>
        <v>1800</v>
      </c>
      <c r="F13" s="2">
        <f t="shared" ca="1" si="4"/>
        <v>50400</v>
      </c>
      <c r="G13" s="4">
        <f t="shared" ca="1" si="5"/>
        <v>0</v>
      </c>
    </row>
    <row r="14" spans="1:13" x14ac:dyDescent="0.25">
      <c r="A14" s="2">
        <f t="shared" ca="1" si="1"/>
        <v>1</v>
      </c>
      <c r="B14" s="2" t="str">
        <f t="shared" ca="1" si="0"/>
        <v>M</v>
      </c>
      <c r="C14" s="2">
        <f t="shared" ca="1" si="2"/>
        <v>6</v>
      </c>
      <c r="D14" s="2" t="str">
        <f t="shared" ca="1" si="3"/>
        <v>Gasto reducido</v>
      </c>
      <c r="E14" s="2">
        <f ca="1">IF(A14=1,Hoja2!$B$2,IF(A14=2,Hoja2!$B$3,IF(A14=3,Hoja2!$B$4,Hoja2!$B$5)))*C14</f>
        <v>600</v>
      </c>
      <c r="F14" s="2">
        <f t="shared" ca="1" si="4"/>
        <v>16800</v>
      </c>
      <c r="G14" s="4">
        <f t="shared" ca="1" si="5"/>
        <v>0</v>
      </c>
    </row>
    <row r="15" spans="1:13" x14ac:dyDescent="0.25">
      <c r="A15" s="2">
        <f t="shared" ca="1" si="1"/>
        <v>1</v>
      </c>
      <c r="B15" s="2" t="str">
        <f t="shared" ca="1" si="0"/>
        <v>T</v>
      </c>
      <c r="C15" s="2">
        <f t="shared" ca="1" si="2"/>
        <v>4</v>
      </c>
      <c r="D15" s="2" t="str">
        <f t="shared" ca="1" si="3"/>
        <v>Gasto reducido</v>
      </c>
      <c r="E15" s="2">
        <f ca="1">IF(A15=1,Hoja2!$B$2,IF(A15=2,Hoja2!$B$3,IF(A15=3,Hoja2!$B$4,Hoja2!$B$5)))*C15</f>
        <v>400</v>
      </c>
      <c r="F15" s="2">
        <f t="shared" ca="1" si="4"/>
        <v>11200</v>
      </c>
      <c r="G15" s="4">
        <f t="shared" ca="1" si="5"/>
        <v>1</v>
      </c>
    </row>
    <row r="16" spans="1:13" x14ac:dyDescent="0.25">
      <c r="A16" s="2">
        <f t="shared" ca="1" si="1"/>
        <v>1</v>
      </c>
      <c r="B16" s="2" t="str">
        <f t="shared" ca="1" si="0"/>
        <v>N</v>
      </c>
      <c r="C16" s="2">
        <f t="shared" ca="1" si="2"/>
        <v>6</v>
      </c>
      <c r="D16" s="2" t="str">
        <f t="shared" ca="1" si="3"/>
        <v>Gasto completo</v>
      </c>
      <c r="E16" s="2">
        <f ca="1">IF(A16=1,Hoja2!$B$2,IF(A16=2,Hoja2!$B$3,IF(A16=3,Hoja2!$B$4,Hoja2!$B$5)))*C16</f>
        <v>600</v>
      </c>
      <c r="F16" s="2">
        <f t="shared" ca="1" si="4"/>
        <v>16800</v>
      </c>
      <c r="G16" s="4">
        <f t="shared" ca="1" si="5"/>
        <v>2</v>
      </c>
    </row>
    <row r="17" spans="1:7" x14ac:dyDescent="0.25">
      <c r="A17" s="2">
        <f t="shared" ca="1" si="1"/>
        <v>4</v>
      </c>
      <c r="B17" s="2" t="str">
        <f t="shared" ca="1" si="0"/>
        <v>M</v>
      </c>
      <c r="C17" s="2">
        <f t="shared" ca="1" si="2"/>
        <v>4</v>
      </c>
      <c r="D17" s="2" t="str">
        <f t="shared" ca="1" si="3"/>
        <v>Gasto reducido</v>
      </c>
      <c r="E17" s="2">
        <f ca="1">IF(A17=1,Hoja2!$B$2,IF(A17=2,Hoja2!$B$3,IF(A17=3,Hoja2!$B$4,Hoja2!$B$5)))*C17</f>
        <v>2400</v>
      </c>
      <c r="F17" s="2">
        <f t="shared" ca="1" si="4"/>
        <v>67200</v>
      </c>
      <c r="G17" s="4">
        <f t="shared" ca="1" si="5"/>
        <v>0</v>
      </c>
    </row>
    <row r="18" spans="1:7" x14ac:dyDescent="0.25">
      <c r="A18" s="2">
        <f t="shared" ca="1" si="1"/>
        <v>3</v>
      </c>
      <c r="B18" s="2" t="str">
        <f t="shared" ca="1" si="0"/>
        <v>T</v>
      </c>
      <c r="C18" s="2">
        <f t="shared" ca="1" si="2"/>
        <v>3</v>
      </c>
      <c r="D18" s="2" t="str">
        <f t="shared" ca="1" si="3"/>
        <v>Gasto reducido</v>
      </c>
      <c r="E18" s="2">
        <f ca="1">IF(A18=1,Hoja2!$B$2,IF(A18=2,Hoja2!$B$3,IF(A18=3,Hoja2!$B$4,Hoja2!$B$5)))*C18</f>
        <v>1440</v>
      </c>
      <c r="F18" s="2">
        <f t="shared" ca="1" si="4"/>
        <v>40320</v>
      </c>
      <c r="G18" s="4">
        <f t="shared" ca="1" si="5"/>
        <v>1</v>
      </c>
    </row>
    <row r="19" spans="1:7" x14ac:dyDescent="0.25">
      <c r="A19" s="2">
        <f t="shared" ca="1" si="1"/>
        <v>1</v>
      </c>
      <c r="B19" s="2" t="str">
        <f t="shared" ca="1" si="0"/>
        <v>N</v>
      </c>
      <c r="C19" s="2">
        <f t="shared" ca="1" si="2"/>
        <v>6</v>
      </c>
      <c r="D19" s="2" t="str">
        <f t="shared" ca="1" si="3"/>
        <v>Gasto completo</v>
      </c>
      <c r="E19" s="2">
        <f ca="1">IF(A19=1,Hoja2!$B$2,IF(A19=2,Hoja2!$B$3,IF(A19=3,Hoja2!$B$4,Hoja2!$B$5)))*C19</f>
        <v>600</v>
      </c>
      <c r="F19" s="2">
        <f t="shared" ca="1" si="4"/>
        <v>16800</v>
      </c>
      <c r="G19" s="4">
        <f t="shared" ca="1" si="5"/>
        <v>2</v>
      </c>
    </row>
    <row r="20" spans="1:7" x14ac:dyDescent="0.25">
      <c r="A20" s="2">
        <f t="shared" ca="1" si="1"/>
        <v>4</v>
      </c>
      <c r="B20" s="2" t="str">
        <f t="shared" ca="1" si="0"/>
        <v>M</v>
      </c>
      <c r="C20" s="2">
        <f t="shared" ca="1" si="2"/>
        <v>5</v>
      </c>
      <c r="D20" s="2" t="str">
        <f t="shared" ca="1" si="3"/>
        <v>Gasto reducido</v>
      </c>
      <c r="E20" s="2">
        <f ca="1">IF(A20=1,Hoja2!$B$2,IF(A20=2,Hoja2!$B$3,IF(A20=3,Hoja2!$B$4,Hoja2!$B$5)))*C20</f>
        <v>3000</v>
      </c>
      <c r="F20" s="2">
        <f t="shared" ca="1" si="4"/>
        <v>84000</v>
      </c>
      <c r="G20" s="4">
        <f t="shared" ca="1" si="5"/>
        <v>0</v>
      </c>
    </row>
    <row r="21" spans="1:7" x14ac:dyDescent="0.25">
      <c r="A21" s="2">
        <f t="shared" ca="1" si="1"/>
        <v>2</v>
      </c>
      <c r="B21" s="2" t="str">
        <f t="shared" ca="1" si="0"/>
        <v>M</v>
      </c>
      <c r="C21" s="2">
        <f t="shared" ca="1" si="2"/>
        <v>3</v>
      </c>
      <c r="D21" s="2" t="str">
        <f t="shared" ca="1" si="3"/>
        <v>Gasto reducido</v>
      </c>
      <c r="E21" s="2">
        <f ca="1">IF(A21=1,Hoja2!$B$2,IF(A21=2,Hoja2!$B$3,IF(A21=3,Hoja2!$B$4,Hoja2!$B$5)))*C21</f>
        <v>1500</v>
      </c>
      <c r="F21" s="2">
        <f t="shared" ca="1" si="4"/>
        <v>42000</v>
      </c>
      <c r="G21" s="4">
        <f t="shared" ca="1" si="5"/>
        <v>0</v>
      </c>
    </row>
    <row r="22" spans="1:7" x14ac:dyDescent="0.25">
      <c r="A22" s="2">
        <f t="shared" ca="1" si="1"/>
        <v>2</v>
      </c>
      <c r="B22" s="2" t="str">
        <f t="shared" ca="1" si="0"/>
        <v>N</v>
      </c>
      <c r="C22" s="2">
        <f t="shared" ca="1" si="2"/>
        <v>4</v>
      </c>
      <c r="D22" s="2" t="str">
        <f t="shared" ca="1" si="3"/>
        <v>Gasto completo</v>
      </c>
      <c r="E22" s="2">
        <f ca="1">IF(A22=1,Hoja2!$B$2,IF(A22=2,Hoja2!$B$3,IF(A22=3,Hoja2!$B$4,Hoja2!$B$5)))*C22</f>
        <v>2000</v>
      </c>
      <c r="F22" s="2">
        <f t="shared" ca="1" si="4"/>
        <v>56000</v>
      </c>
      <c r="G22" s="4">
        <f t="shared" ca="1" si="5"/>
        <v>2</v>
      </c>
    </row>
    <row r="23" spans="1:7" x14ac:dyDescent="0.25">
      <c r="A23" s="2">
        <f t="shared" ca="1" si="1"/>
        <v>1</v>
      </c>
      <c r="B23" s="2" t="str">
        <f t="shared" ca="1" si="0"/>
        <v>T</v>
      </c>
      <c r="C23" s="2">
        <f t="shared" ca="1" si="2"/>
        <v>7</v>
      </c>
      <c r="D23" s="2" t="str">
        <f t="shared" ca="1" si="3"/>
        <v>Gasto reducido</v>
      </c>
      <c r="E23" s="2">
        <f ca="1">IF(A23=1,Hoja2!$B$2,IF(A23=2,Hoja2!$B$3,IF(A23=3,Hoja2!$B$4,Hoja2!$B$5)))*C23</f>
        <v>700</v>
      </c>
      <c r="F23" s="2">
        <f t="shared" ca="1" si="4"/>
        <v>19600</v>
      </c>
      <c r="G23" s="4">
        <f t="shared" ca="1" si="5"/>
        <v>1</v>
      </c>
    </row>
    <row r="24" spans="1:7" x14ac:dyDescent="0.25">
      <c r="A24" s="2">
        <f t="shared" ca="1" si="1"/>
        <v>4</v>
      </c>
      <c r="B24" s="2" t="str">
        <f t="shared" ca="1" si="0"/>
        <v>N</v>
      </c>
      <c r="C24" s="2">
        <f t="shared" ca="1" si="2"/>
        <v>5</v>
      </c>
      <c r="D24" s="2" t="str">
        <f t="shared" ca="1" si="3"/>
        <v>Gasto completo</v>
      </c>
      <c r="E24" s="2">
        <f ca="1">IF(A24=1,Hoja2!$B$2,IF(A24=2,Hoja2!$B$3,IF(A24=3,Hoja2!$B$4,Hoja2!$B$5)))*C24</f>
        <v>3000</v>
      </c>
      <c r="F24" s="2">
        <f t="shared" ca="1" si="4"/>
        <v>84000</v>
      </c>
      <c r="G24" s="4">
        <f t="shared" ca="1" si="5"/>
        <v>2</v>
      </c>
    </row>
    <row r="25" spans="1:7" x14ac:dyDescent="0.25">
      <c r="A25" s="2">
        <f t="shared" ca="1" si="1"/>
        <v>1</v>
      </c>
      <c r="B25" s="2" t="str">
        <f t="shared" ca="1" si="0"/>
        <v>T</v>
      </c>
      <c r="C25" s="2">
        <f t="shared" ca="1" si="2"/>
        <v>5</v>
      </c>
      <c r="D25" s="2" t="str">
        <f t="shared" ca="1" si="3"/>
        <v>Gasto reducido</v>
      </c>
      <c r="E25" s="2">
        <f ca="1">IF(A25=1,Hoja2!$B$2,IF(A25=2,Hoja2!$B$3,IF(A25=3,Hoja2!$B$4,Hoja2!$B$5)))*C25</f>
        <v>500</v>
      </c>
      <c r="F25" s="2">
        <f t="shared" ca="1" si="4"/>
        <v>14000</v>
      </c>
      <c r="G25" s="4">
        <f t="shared" ca="1" si="5"/>
        <v>1</v>
      </c>
    </row>
    <row r="26" spans="1:7" x14ac:dyDescent="0.25">
      <c r="A26" s="2">
        <f t="shared" ca="1" si="1"/>
        <v>1</v>
      </c>
      <c r="B26" s="2" t="str">
        <f t="shared" ca="1" si="0"/>
        <v>N</v>
      </c>
      <c r="C26" s="2">
        <f t="shared" ca="1" si="2"/>
        <v>3</v>
      </c>
      <c r="D26" s="2" t="str">
        <f t="shared" ca="1" si="3"/>
        <v>Gasto completo</v>
      </c>
      <c r="E26" s="2">
        <f ca="1">IF(A26=1,Hoja2!$B$2,IF(A26=2,Hoja2!$B$3,IF(A26=3,Hoja2!$B$4,Hoja2!$B$5)))*C26</f>
        <v>300</v>
      </c>
      <c r="F26" s="2">
        <f t="shared" ca="1" si="4"/>
        <v>8400</v>
      </c>
      <c r="G26" s="4">
        <f t="shared" ca="1" si="5"/>
        <v>2</v>
      </c>
    </row>
    <row r="27" spans="1:7" x14ac:dyDescent="0.25">
      <c r="A27" s="2">
        <f t="shared" ca="1" si="1"/>
        <v>3</v>
      </c>
      <c r="B27" s="2" t="str">
        <f t="shared" ca="1" si="0"/>
        <v>M</v>
      </c>
      <c r="C27" s="2">
        <f t="shared" ca="1" si="2"/>
        <v>5</v>
      </c>
      <c r="D27" s="2" t="str">
        <f t="shared" ca="1" si="3"/>
        <v>Gasto reducido</v>
      </c>
      <c r="E27" s="2">
        <f ca="1">IF(A27=1,Hoja2!$B$2,IF(A27=2,Hoja2!$B$3,IF(A27=3,Hoja2!$B$4,Hoja2!$B$5)))*C27</f>
        <v>2400</v>
      </c>
      <c r="F27" s="2">
        <f t="shared" ca="1" si="4"/>
        <v>67200</v>
      </c>
      <c r="G27" s="4">
        <f t="shared" ca="1" si="5"/>
        <v>0</v>
      </c>
    </row>
    <row r="28" spans="1:7" x14ac:dyDescent="0.25">
      <c r="A28" s="2">
        <f t="shared" ca="1" si="1"/>
        <v>1</v>
      </c>
      <c r="B28" s="2" t="str">
        <f t="shared" ca="1" si="0"/>
        <v>N</v>
      </c>
      <c r="C28" s="2">
        <f t="shared" ca="1" si="2"/>
        <v>5</v>
      </c>
      <c r="D28" s="2" t="str">
        <f t="shared" ca="1" si="3"/>
        <v>Gasto completo</v>
      </c>
      <c r="E28" s="2">
        <f ca="1">IF(A28=1,Hoja2!$B$2,IF(A28=2,Hoja2!$B$3,IF(A28=3,Hoja2!$B$4,Hoja2!$B$5)))*C28</f>
        <v>500</v>
      </c>
      <c r="F28" s="2">
        <f t="shared" ca="1" si="4"/>
        <v>14000</v>
      </c>
      <c r="G28" s="4">
        <f t="shared" ca="1" si="5"/>
        <v>2</v>
      </c>
    </row>
    <row r="29" spans="1:7" x14ac:dyDescent="0.25">
      <c r="A29" s="2">
        <f t="shared" ca="1" si="1"/>
        <v>2</v>
      </c>
      <c r="B29" s="2" t="str">
        <f t="shared" ca="1" si="0"/>
        <v>N</v>
      </c>
      <c r="C29" s="2">
        <f t="shared" ca="1" si="2"/>
        <v>3</v>
      </c>
      <c r="D29" s="2" t="str">
        <f t="shared" ca="1" si="3"/>
        <v>Gasto completo</v>
      </c>
      <c r="E29" s="2">
        <f ca="1">IF(A29=1,Hoja2!$B$2,IF(A29=2,Hoja2!$B$3,IF(A29=3,Hoja2!$B$4,Hoja2!$B$5)))*C29</f>
        <v>1500</v>
      </c>
      <c r="F29" s="2">
        <f t="shared" ca="1" si="4"/>
        <v>42000</v>
      </c>
      <c r="G29" s="4">
        <f t="shared" ca="1" si="5"/>
        <v>2</v>
      </c>
    </row>
    <row r="30" spans="1:7" x14ac:dyDescent="0.25">
      <c r="A30" s="2">
        <f t="shared" ca="1" si="1"/>
        <v>4</v>
      </c>
      <c r="B30" s="2" t="str">
        <f t="shared" ca="1" si="0"/>
        <v>M</v>
      </c>
      <c r="C30" s="2">
        <f t="shared" ca="1" si="2"/>
        <v>5</v>
      </c>
      <c r="D30" s="2" t="str">
        <f t="shared" ca="1" si="3"/>
        <v>Gasto reducido</v>
      </c>
      <c r="E30" s="2">
        <f ca="1">IF(A30=1,Hoja2!$B$2,IF(A30=2,Hoja2!$B$3,IF(A30=3,Hoja2!$B$4,Hoja2!$B$5)))*C30</f>
        <v>3000</v>
      </c>
      <c r="F30" s="2">
        <f t="shared" ca="1" si="4"/>
        <v>84000</v>
      </c>
      <c r="G30" s="4">
        <f t="shared" ca="1" si="5"/>
        <v>0</v>
      </c>
    </row>
    <row r="31" spans="1:7" x14ac:dyDescent="0.25">
      <c r="A31" s="2">
        <f t="shared" ca="1" si="1"/>
        <v>3</v>
      </c>
      <c r="B31" s="2" t="str">
        <f t="shared" ca="1" si="0"/>
        <v>N</v>
      </c>
      <c r="C31" s="2">
        <f t="shared" ca="1" si="2"/>
        <v>4</v>
      </c>
      <c r="D31" s="2" t="str">
        <f t="shared" ca="1" si="3"/>
        <v>Gasto completo</v>
      </c>
      <c r="E31" s="2">
        <f ca="1">IF(A31=1,Hoja2!$B$2,IF(A31=2,Hoja2!$B$3,IF(A31=3,Hoja2!$B$4,Hoja2!$B$5)))*C31</f>
        <v>1920</v>
      </c>
      <c r="F31" s="2">
        <f t="shared" ca="1" si="4"/>
        <v>53760</v>
      </c>
      <c r="G31" s="4">
        <f t="shared" ca="1" si="5"/>
        <v>2</v>
      </c>
    </row>
    <row r="32" spans="1:7" x14ac:dyDescent="0.25">
      <c r="A32" s="2">
        <f t="shared" ca="1" si="1"/>
        <v>2</v>
      </c>
      <c r="B32" s="2" t="str">
        <f t="shared" ca="1" si="0"/>
        <v>N</v>
      </c>
      <c r="C32" s="2">
        <f t="shared" ca="1" si="2"/>
        <v>4</v>
      </c>
      <c r="D32" s="2" t="str">
        <f t="shared" ca="1" si="3"/>
        <v>Gasto completo</v>
      </c>
      <c r="E32" s="2">
        <f ca="1">IF(A32=1,Hoja2!$B$2,IF(A32=2,Hoja2!$B$3,IF(A32=3,Hoja2!$B$4,Hoja2!$B$5)))*C32</f>
        <v>2000</v>
      </c>
      <c r="F32" s="2">
        <f t="shared" ca="1" si="4"/>
        <v>56000</v>
      </c>
      <c r="G32" s="4">
        <f t="shared" ca="1" si="5"/>
        <v>2</v>
      </c>
    </row>
    <row r="33" spans="1:7" x14ac:dyDescent="0.25">
      <c r="A33" s="2">
        <f t="shared" ca="1" si="1"/>
        <v>2</v>
      </c>
      <c r="B33" s="2" t="str">
        <f t="shared" ca="1" si="0"/>
        <v>M</v>
      </c>
      <c r="C33" s="2">
        <f t="shared" ca="1" si="2"/>
        <v>5</v>
      </c>
      <c r="D33" s="2" t="str">
        <f t="shared" ca="1" si="3"/>
        <v>Gasto reducido</v>
      </c>
      <c r="E33" s="2">
        <f ca="1">IF(A33=1,Hoja2!$B$2,IF(A33=2,Hoja2!$B$3,IF(A33=3,Hoja2!$B$4,Hoja2!$B$5)))*C33</f>
        <v>2500</v>
      </c>
      <c r="F33" s="2">
        <f t="shared" ca="1" si="4"/>
        <v>70000</v>
      </c>
      <c r="G33" s="4">
        <f t="shared" ca="1" si="5"/>
        <v>0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E9" sqref="E9"/>
    </sheetView>
  </sheetViews>
  <sheetFormatPr baseColWidth="10" defaultRowHeight="15" x14ac:dyDescent="0.25"/>
  <cols>
    <col min="1" max="1" width="19.7109375" customWidth="1"/>
    <col min="2" max="2" width="14.85546875" customWidth="1"/>
  </cols>
  <sheetData>
    <row r="1" spans="1:2" x14ac:dyDescent="0.25">
      <c r="A1" s="2" t="s">
        <v>7</v>
      </c>
      <c r="B1" s="2" t="s">
        <v>4</v>
      </c>
    </row>
    <row r="2" spans="1:2" x14ac:dyDescent="0.25">
      <c r="A2" s="2">
        <v>1</v>
      </c>
      <c r="B2" s="2">
        <v>100</v>
      </c>
    </row>
    <row r="3" spans="1:2" x14ac:dyDescent="0.25">
      <c r="A3" s="2">
        <v>2</v>
      </c>
      <c r="B3" s="2">
        <v>500</v>
      </c>
    </row>
    <row r="4" spans="1:2" x14ac:dyDescent="0.25">
      <c r="A4" s="2">
        <v>3</v>
      </c>
      <c r="B4" s="2">
        <v>480</v>
      </c>
    </row>
    <row r="5" spans="1:2" x14ac:dyDescent="0.25">
      <c r="A5" s="2">
        <v>4</v>
      </c>
      <c r="B5" s="2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2023-10-06T02:12:14Z</dcterms:created>
  <dcterms:modified xsi:type="dcterms:W3CDTF">2023-10-22T08:23:09Z</dcterms:modified>
</cp:coreProperties>
</file>