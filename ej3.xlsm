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utn\laboratorio 1\tp\excel4\tpmacros\"/>
    </mc:Choice>
  </mc:AlternateContent>
  <bookViews>
    <workbookView xWindow="0" yWindow="0" windowWidth="20490" windowHeight="7650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2" i="1"/>
  <c r="C3" i="1" l="1"/>
  <c r="D3" i="1" s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D51" i="1" s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" i="1"/>
  <c r="F50" i="1" l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6" i="1"/>
  <c r="F4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7" i="1"/>
  <c r="F5" i="1"/>
  <c r="F3" i="1"/>
  <c r="L6" i="1" s="1"/>
  <c r="I6" i="1"/>
  <c r="I5" i="1"/>
  <c r="I3" i="1"/>
  <c r="I4" i="1"/>
  <c r="I2" i="1"/>
  <c r="D2" i="1"/>
  <c r="H10" i="1"/>
  <c r="H11" i="1"/>
  <c r="H9" i="1"/>
  <c r="H7" i="1"/>
  <c r="H8" i="1"/>
  <c r="H5" i="1"/>
  <c r="H6" i="1"/>
  <c r="H3" i="1"/>
  <c r="H4" i="1"/>
  <c r="H2" i="1"/>
  <c r="L5" i="1" l="1"/>
  <c r="L4" i="1"/>
  <c r="L2" i="1"/>
  <c r="K3" i="1"/>
  <c r="K2" i="1"/>
  <c r="K9" i="1"/>
  <c r="K10" i="1"/>
  <c r="K8" i="1"/>
  <c r="F2" i="1"/>
  <c r="K11" i="1" s="1"/>
  <c r="J2" i="1" l="1"/>
  <c r="K7" i="1"/>
  <c r="K5" i="1"/>
  <c r="L3" i="1"/>
  <c r="J3" i="1"/>
  <c r="K13" i="1"/>
  <c r="K12" i="1"/>
  <c r="K4" i="1"/>
  <c r="K6" i="1"/>
  <c r="J4" i="1"/>
  <c r="J6" i="1"/>
  <c r="J5" i="1"/>
</calcChain>
</file>

<file path=xl/sharedStrings.xml><?xml version="1.0" encoding="utf-8"?>
<sst xmlns="http://schemas.openxmlformats.org/spreadsheetml/2006/main" count="13" uniqueCount="13">
  <si>
    <t>N° Vendedor  (1)</t>
  </si>
  <si>
    <t>mes (2)</t>
  </si>
  <si>
    <t>N° de Artículo (3)</t>
  </si>
  <si>
    <t>Precio Unitario (4)</t>
  </si>
  <si>
    <t>Unidades (5)</t>
  </si>
  <si>
    <t>Precio Total (6)</t>
  </si>
  <si>
    <t>N° Artículo</t>
  </si>
  <si>
    <t>Precio</t>
  </si>
  <si>
    <t>Cantidad de ventas por vendedor</t>
  </si>
  <si>
    <t>Cantidad de unidades vendidas por artículo</t>
  </si>
  <si>
    <t>Recaudación por vendedor</t>
  </si>
  <si>
    <t>Recaudación por mes</t>
  </si>
  <si>
    <t>Recaudación por artículo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</si>
</sst>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5">
    <xf numFmtId="0" fontId="0" fillId="0" borderId="0" xfId="0"/>
    <xf numFmtId="0" fontId="1" fillId="2" borderId="1" xfId="1"/>
    <xf numFmtId="0" fontId="1" fillId="2" borderId="1" xfId="1" applyAlignment="1">
      <alignment horizontal="center"/>
    </xf>
    <xf numFmtId="0" fontId="2" fillId="3" borderId="2" xfId="2" applyBorder="1" applyAlignment="1">
      <alignment horizontal="center"/>
    </xf>
    <xf numFmtId="0" fontId="3" fillId="3" borderId="2" xfId="2" applyFont="1" applyBorder="1" applyAlignment="1">
      <alignment horizontal="center"/>
    </xf>
  </cellXfs>
  <cellStyles count="3">
    <cellStyle name="Bueno" xfId="2" builtinId="26"/>
    <cellStyle name="Normal" xfId="0" builtinId="0"/>
    <cellStyle name="Sali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1"/>
  <sheetViews>
    <sheetView tabSelected="1" workbookViewId="0">
      <selection activeCell="H17" sqref="H17"/>
    </sheetView>
  </sheetViews>
  <sheetFormatPr baseColWidth="10" defaultRowHeight="15" x14ac:dyDescent="0.25"/>
  <cols>
    <col min="1" max="1" width="15.7109375" customWidth="1"/>
    <col min="3" max="3" width="16" customWidth="1"/>
    <col min="4" max="4" width="16.85546875" customWidth="1"/>
    <col min="5" max="5" width="12" customWidth="1"/>
    <col min="6" max="6" width="14" customWidth="1"/>
    <col min="7" max="7" width="13.5703125" customWidth="1"/>
    <col min="8" max="8" width="30.5703125" customWidth="1"/>
    <col min="9" max="9" width="40" customWidth="1"/>
    <col min="10" max="10" width="24.85546875" customWidth="1"/>
    <col min="11" max="11" width="20.42578125" customWidth="1"/>
    <col min="12" max="12" width="26.28515625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</row>
    <row r="2" spans="1:12" x14ac:dyDescent="0.25">
      <c r="A2" s="1">
        <f ca="1">RANDBETWEEN(1,10)</f>
        <v>1</v>
      </c>
      <c r="B2" s="1">
        <f ca="1">RANDBETWEEN(1,12)</f>
        <v>6</v>
      </c>
      <c r="C2" s="1">
        <f ca="1">RANDBETWEEN(1,5)</f>
        <v>2</v>
      </c>
      <c r="D2" s="1">
        <f ca="1">VLOOKUP(C2,Hoja2!$A$1:$B$6,2,FALSE)</f>
        <v>15</v>
      </c>
      <c r="E2" s="1">
        <f ca="1">RANDBETWEEN(1,50)</f>
        <v>13</v>
      </c>
      <c r="F2" s="1">
        <f ca="1">D2*E2</f>
        <v>195</v>
      </c>
      <c r="H2" s="3">
        <f ca="1">SUMIF($A$2:$A$51,"=1",$E$2:$E$51)</f>
        <v>82</v>
      </c>
      <c r="I2" s="3">
        <f ca="1">SUMIF($C$2:$C$51,"=1",$E$2:$E$51)</f>
        <v>276</v>
      </c>
      <c r="J2" s="3">
        <f ca="1">SUMIF($A$2:$A$51,"=1",$F$2:$F$51)</f>
        <v>1686</v>
      </c>
      <c r="K2" s="3">
        <f ca="1">SUMIF($B$2:$B$51,"=1",$F$2:$F$51)</f>
        <v>2124</v>
      </c>
      <c r="L2" s="3">
        <f ca="1">SUMIF($C$2:$C$51,"=1",Hoja1!$F$2:$F$51)</f>
        <v>6486</v>
      </c>
    </row>
    <row r="3" spans="1:12" x14ac:dyDescent="0.25">
      <c r="A3" s="1">
        <f t="shared" ref="A3:A51" ca="1" si="0">RANDBETWEEN(1,10)</f>
        <v>9</v>
      </c>
      <c r="B3" s="1">
        <f t="shared" ref="B3:B51" ca="1" si="1">RANDBETWEEN(1,12)</f>
        <v>10</v>
      </c>
      <c r="C3" s="1">
        <f t="shared" ref="C3:C51" ca="1" si="2">RANDBETWEEN(1,5)</f>
        <v>5</v>
      </c>
      <c r="D3" s="1">
        <f ca="1">VLOOKUP(C3,Hoja2!$A$1:$B$6,2,FALSE)</f>
        <v>52</v>
      </c>
      <c r="E3" s="1">
        <f t="shared" ref="E3:E51" ca="1" si="3">RANDBETWEEN(1,50)</f>
        <v>28</v>
      </c>
      <c r="F3" s="1">
        <f t="shared" ref="F3:F51" ca="1" si="4">D3*E3</f>
        <v>1456</v>
      </c>
      <c r="H3" s="3">
        <f ca="1">SUMIF($A$2:$A$51,"=2",$E$2:$E$51)</f>
        <v>120</v>
      </c>
      <c r="I3" s="3">
        <f ca="1">SUMIF($C$2:$C$51,"=2",$E$2:$E$51)</f>
        <v>230</v>
      </c>
      <c r="J3" s="3">
        <f ca="1">SUMIF($A$2:$A$51,"=2",$F$2:$F$51)</f>
        <v>2667</v>
      </c>
      <c r="K3" s="3">
        <f ca="1">SUMIF($B$2:$B$51,"=2",$F$2:$F$51)</f>
        <v>1167</v>
      </c>
      <c r="L3" s="3">
        <f ca="1">SUMIF($C$2:$C$51,"=2",Hoja1!$F$2:$F$51)</f>
        <v>3450</v>
      </c>
    </row>
    <row r="4" spans="1:12" x14ac:dyDescent="0.25">
      <c r="A4" s="1">
        <f t="shared" ca="1" si="0"/>
        <v>2</v>
      </c>
      <c r="B4" s="1">
        <f t="shared" ca="1" si="1"/>
        <v>4</v>
      </c>
      <c r="C4" s="1">
        <f t="shared" ca="1" si="2"/>
        <v>4</v>
      </c>
      <c r="D4" s="1">
        <f ca="1">VLOOKUP(C4,Hoja2!$A$1:$B$6,2,FALSE)</f>
        <v>32</v>
      </c>
      <c r="E4" s="1">
        <f t="shared" ca="1" si="3"/>
        <v>49</v>
      </c>
      <c r="F4" s="1">
        <f t="shared" ca="1" si="4"/>
        <v>1568</v>
      </c>
      <c r="H4" s="3">
        <f ca="1">SUMIF($A$2:$A$51,"=3",$E$2:$E$51)</f>
        <v>176</v>
      </c>
      <c r="I4" s="3">
        <f ca="1">SUMIF($C$2:$C$51,"=3",$E$2:$E$51)</f>
        <v>310</v>
      </c>
      <c r="J4" s="3">
        <f ca="1">SUMIF($A$2:$A$51,"=3",$F$2:$F$51)</f>
        <v>2774.5</v>
      </c>
      <c r="K4" s="3">
        <f ca="1">SUMIF($B$2:$B$51,"=3",$F$2:$F$51)</f>
        <v>1612</v>
      </c>
      <c r="L4" s="3">
        <f ca="1">SUMIF($C$2:$C$51,"=3",Hoja1!$F$2:$F$51)</f>
        <v>2635</v>
      </c>
    </row>
    <row r="5" spans="1:12" x14ac:dyDescent="0.25">
      <c r="A5" s="1">
        <f t="shared" ca="1" si="0"/>
        <v>10</v>
      </c>
      <c r="B5" s="1">
        <f t="shared" ca="1" si="1"/>
        <v>4</v>
      </c>
      <c r="C5" s="1">
        <f t="shared" ca="1" si="2"/>
        <v>5</v>
      </c>
      <c r="D5" s="1">
        <f ca="1">VLOOKUP(C5,Hoja2!$A$1:$B$6,2,FALSE)</f>
        <v>52</v>
      </c>
      <c r="E5" s="1">
        <f t="shared" ca="1" si="3"/>
        <v>42</v>
      </c>
      <c r="F5" s="1">
        <f t="shared" ca="1" si="4"/>
        <v>2184</v>
      </c>
      <c r="H5" s="3">
        <f ca="1">SUMIF($A$2:$A$51,"=4",$E$2:$E$51)</f>
        <v>75</v>
      </c>
      <c r="I5" s="3">
        <f ca="1">SUMIF($C$2:$C$51,"=4",$E$2:$E$51)</f>
        <v>220</v>
      </c>
      <c r="J5" s="3">
        <f ca="1">SUMIF($A$2:$A$51,"=4",$F$2:$F$51)</f>
        <v>2716</v>
      </c>
      <c r="K5" s="3">
        <f ca="1">SUMIF($B$2:$B$51,"=4",$F$2:$F$51)</f>
        <v>5030.5</v>
      </c>
      <c r="L5" s="3">
        <f ca="1">SUMIF($C$2:$C$51,"=4",Hoja1!$F$2:$F$51)</f>
        <v>7040</v>
      </c>
    </row>
    <row r="6" spans="1:12" x14ac:dyDescent="0.25">
      <c r="A6" s="1">
        <f t="shared" ca="1" si="0"/>
        <v>9</v>
      </c>
      <c r="B6" s="1">
        <f t="shared" ca="1" si="1"/>
        <v>11</v>
      </c>
      <c r="C6" s="1">
        <f t="shared" ca="1" si="2"/>
        <v>4</v>
      </c>
      <c r="D6" s="1">
        <f ca="1">VLOOKUP(C6,Hoja2!$A$1:$B$6,2,FALSE)</f>
        <v>32</v>
      </c>
      <c r="E6" s="1">
        <f t="shared" ca="1" si="3"/>
        <v>35</v>
      </c>
      <c r="F6" s="1">
        <f t="shared" ca="1" si="4"/>
        <v>1120</v>
      </c>
      <c r="H6" s="3">
        <f ca="1">SUMIF($A$2:$A$51,"=5",$E$2:$E$51)</f>
        <v>31</v>
      </c>
      <c r="I6" s="3">
        <f ca="1">SUMIF($C$2:$C$51,"=5",$E$2:$E$51)</f>
        <v>226</v>
      </c>
      <c r="J6" s="3">
        <f ca="1">SUMIF($A$2:$A$51,"=5",$F$2:$F$51)</f>
        <v>669</v>
      </c>
      <c r="K6" s="3">
        <f ca="1">SUMIF($B$2:$B$51,"=5",$F$2:$F$51)</f>
        <v>395.5</v>
      </c>
      <c r="L6" s="3">
        <f ca="1">SUMIF($C$2:$C$51,"=5",Hoja1!$F$2:$F$51)</f>
        <v>11752</v>
      </c>
    </row>
    <row r="7" spans="1:12" x14ac:dyDescent="0.25">
      <c r="A7" s="1">
        <f t="shared" ca="1" si="0"/>
        <v>2</v>
      </c>
      <c r="B7" s="1">
        <f t="shared" ca="1" si="1"/>
        <v>3</v>
      </c>
      <c r="C7" s="1">
        <f t="shared" ca="1" si="2"/>
        <v>1</v>
      </c>
      <c r="D7" s="1">
        <f ca="1">VLOOKUP(C7,Hoja2!$A$1:$B$6,2,FALSE)</f>
        <v>23.5</v>
      </c>
      <c r="E7" s="1">
        <f t="shared" ca="1" si="3"/>
        <v>28</v>
      </c>
      <c r="F7" s="1">
        <f t="shared" ca="1" si="4"/>
        <v>658</v>
      </c>
      <c r="H7" s="3">
        <f ca="1">SUMIF($A$2:$A$51,"=6",$E$2:$E$51)</f>
        <v>63</v>
      </c>
      <c r="I7" s="3"/>
      <c r="J7" s="3"/>
      <c r="K7" s="3">
        <f ca="1">SUMIF($B$2:$B$51,"=6",$F$2:$F$51)</f>
        <v>2935.5</v>
      </c>
      <c r="L7" s="3"/>
    </row>
    <row r="8" spans="1:12" x14ac:dyDescent="0.25">
      <c r="A8" s="1">
        <f t="shared" ca="1" si="0"/>
        <v>4</v>
      </c>
      <c r="B8" s="1">
        <f t="shared" ca="1" si="1"/>
        <v>12</v>
      </c>
      <c r="C8" s="1">
        <f t="shared" ca="1" si="2"/>
        <v>2</v>
      </c>
      <c r="D8" s="1">
        <f ca="1">VLOOKUP(C8,Hoja2!$A$1:$B$6,2,FALSE)</f>
        <v>15</v>
      </c>
      <c r="E8" s="1">
        <f t="shared" ca="1" si="3"/>
        <v>19</v>
      </c>
      <c r="F8" s="1">
        <f t="shared" ca="1" si="4"/>
        <v>285</v>
      </c>
      <c r="H8" s="3">
        <f ca="1">SUMIF($A$2:$A$51,"=7",$E$2:$E$51)</f>
        <v>155</v>
      </c>
      <c r="I8" s="3"/>
      <c r="J8" s="3"/>
      <c r="K8" s="3">
        <f ca="1">SUMIF($B$2:$B$51,"=7",$F$2:$F$51)</f>
        <v>937</v>
      </c>
      <c r="L8" s="3"/>
    </row>
    <row r="9" spans="1:12" x14ac:dyDescent="0.25">
      <c r="A9" s="1">
        <f t="shared" ca="1" si="0"/>
        <v>9</v>
      </c>
      <c r="B9" s="1">
        <f t="shared" ca="1" si="1"/>
        <v>6</v>
      </c>
      <c r="C9" s="1">
        <f t="shared" ca="1" si="2"/>
        <v>5</v>
      </c>
      <c r="D9" s="1">
        <f ca="1">VLOOKUP(C9,Hoja2!$A$1:$B$6,2,FALSE)</f>
        <v>52</v>
      </c>
      <c r="E9" s="1">
        <f t="shared" ca="1" si="3"/>
        <v>46</v>
      </c>
      <c r="F9" s="1">
        <f t="shared" ca="1" si="4"/>
        <v>2392</v>
      </c>
      <c r="H9" s="3">
        <f ca="1">SUMIF($A$2:$A$51,"=8",$E$2:$E$51)</f>
        <v>133</v>
      </c>
      <c r="I9" s="3"/>
      <c r="J9" s="3"/>
      <c r="K9" s="3">
        <f ca="1">SUMIF($B$2:$B$51,"=8",$F$2:$F$51)</f>
        <v>5075</v>
      </c>
      <c r="L9" s="3"/>
    </row>
    <row r="10" spans="1:12" x14ac:dyDescent="0.25">
      <c r="A10" s="1">
        <f t="shared" ca="1" si="0"/>
        <v>7</v>
      </c>
      <c r="B10" s="1">
        <f t="shared" ca="1" si="1"/>
        <v>11</v>
      </c>
      <c r="C10" s="1">
        <f t="shared" ca="1" si="2"/>
        <v>4</v>
      </c>
      <c r="D10" s="1">
        <f ca="1">VLOOKUP(C10,Hoja2!$A$1:$B$6,2,FALSE)</f>
        <v>32</v>
      </c>
      <c r="E10" s="1">
        <f t="shared" ca="1" si="3"/>
        <v>41</v>
      </c>
      <c r="F10" s="1">
        <f t="shared" ca="1" si="4"/>
        <v>1312</v>
      </c>
      <c r="H10" s="3">
        <f ca="1">SUMIF($A$2:$A$51,"=9",$E$2:$E$51)</f>
        <v>252</v>
      </c>
      <c r="I10" s="3"/>
      <c r="J10" s="3"/>
      <c r="K10" s="3">
        <f ca="1">SUMIF($B$2:$B$51,"=9",$F$2:$F$51)</f>
        <v>450.5</v>
      </c>
      <c r="L10" s="3"/>
    </row>
    <row r="11" spans="1:12" x14ac:dyDescent="0.25">
      <c r="A11" s="1">
        <f t="shared" ca="1" si="0"/>
        <v>4</v>
      </c>
      <c r="B11" s="1">
        <f t="shared" ca="1" si="1"/>
        <v>10</v>
      </c>
      <c r="C11" s="1">
        <f t="shared" ca="1" si="2"/>
        <v>5</v>
      </c>
      <c r="D11" s="1">
        <f ca="1">VLOOKUP(C11,Hoja2!$A$1:$B$6,2,FALSE)</f>
        <v>52</v>
      </c>
      <c r="E11" s="1">
        <f t="shared" ca="1" si="3"/>
        <v>43</v>
      </c>
      <c r="F11" s="1">
        <f t="shared" ca="1" si="4"/>
        <v>2236</v>
      </c>
      <c r="H11" s="3">
        <f ca="1">SUMIF($A$2:$A$51,"=10",$E$2:$E$51)</f>
        <v>175</v>
      </c>
      <c r="I11" s="3"/>
      <c r="J11" s="3"/>
      <c r="K11" s="3">
        <f ca="1">SUMIF($B$2:$B$51,"=10",$F$2:$F$51)</f>
        <v>6019</v>
      </c>
      <c r="L11" s="3"/>
    </row>
    <row r="12" spans="1:12" x14ac:dyDescent="0.25">
      <c r="A12" s="1">
        <f t="shared" ca="1" si="0"/>
        <v>6</v>
      </c>
      <c r="B12" s="1">
        <f t="shared" ca="1" si="1"/>
        <v>11</v>
      </c>
      <c r="C12" s="1">
        <f t="shared" ca="1" si="2"/>
        <v>1</v>
      </c>
      <c r="D12" s="1">
        <f ca="1">VLOOKUP(C12,Hoja2!$A$1:$B$6,2,FALSE)</f>
        <v>23.5</v>
      </c>
      <c r="E12" s="1">
        <f t="shared" ca="1" si="3"/>
        <v>30</v>
      </c>
      <c r="F12" s="1">
        <f t="shared" ca="1" si="4"/>
        <v>705</v>
      </c>
      <c r="H12" s="3"/>
      <c r="I12" s="3"/>
      <c r="J12" s="3"/>
      <c r="K12" s="3">
        <f ca="1">SUMIF($B$2:$B$51,"=11",$F$2:$F$51)</f>
        <v>3459.5</v>
      </c>
      <c r="L12" s="3"/>
    </row>
    <row r="13" spans="1:12" x14ac:dyDescent="0.25">
      <c r="A13" s="1">
        <f t="shared" ca="1" si="0"/>
        <v>8</v>
      </c>
      <c r="B13" s="1">
        <f t="shared" ca="1" si="1"/>
        <v>7</v>
      </c>
      <c r="C13" s="1">
        <f t="shared" ca="1" si="2"/>
        <v>2</v>
      </c>
      <c r="D13" s="1">
        <f ca="1">VLOOKUP(C13,Hoja2!$A$1:$B$6,2,FALSE)</f>
        <v>15</v>
      </c>
      <c r="E13" s="1">
        <f t="shared" ca="1" si="3"/>
        <v>33</v>
      </c>
      <c r="F13" s="1">
        <f t="shared" ca="1" si="4"/>
        <v>495</v>
      </c>
      <c r="H13" s="3"/>
      <c r="I13" s="3"/>
      <c r="J13" s="3"/>
      <c r="K13" s="3">
        <f ca="1">SUMIF($B$2:$B$51,"=12",$F$2:$F$51)</f>
        <v>2157.5</v>
      </c>
      <c r="L13" s="3"/>
    </row>
    <row r="14" spans="1:12" x14ac:dyDescent="0.25">
      <c r="A14" s="1">
        <f t="shared" ca="1" si="0"/>
        <v>7</v>
      </c>
      <c r="B14" s="1">
        <f t="shared" ca="1" si="1"/>
        <v>3</v>
      </c>
      <c r="C14" s="1">
        <f t="shared" ca="1" si="2"/>
        <v>2</v>
      </c>
      <c r="D14" s="1">
        <f ca="1">VLOOKUP(C14,Hoja2!$A$1:$B$6,2,FALSE)</f>
        <v>15</v>
      </c>
      <c r="E14" s="1">
        <f t="shared" ca="1" si="3"/>
        <v>15</v>
      </c>
      <c r="F14" s="1">
        <f t="shared" ca="1" si="4"/>
        <v>225</v>
      </c>
    </row>
    <row r="15" spans="1:12" x14ac:dyDescent="0.25">
      <c r="A15" s="1">
        <f t="shared" ca="1" si="0"/>
        <v>6</v>
      </c>
      <c r="B15" s="1">
        <f t="shared" ca="1" si="1"/>
        <v>6</v>
      </c>
      <c r="C15" s="1">
        <f t="shared" ca="1" si="2"/>
        <v>3</v>
      </c>
      <c r="D15" s="1">
        <f ca="1">VLOOKUP(C15,Hoja2!$A$1:$B$6,2,FALSE)</f>
        <v>8.5</v>
      </c>
      <c r="E15" s="1">
        <f t="shared" ca="1" si="3"/>
        <v>11</v>
      </c>
      <c r="F15" s="1">
        <f t="shared" ca="1" si="4"/>
        <v>93.5</v>
      </c>
    </row>
    <row r="16" spans="1:12" x14ac:dyDescent="0.25">
      <c r="A16" s="1">
        <f t="shared" ca="1" si="0"/>
        <v>5</v>
      </c>
      <c r="B16" s="1">
        <f t="shared" ca="1" si="1"/>
        <v>3</v>
      </c>
      <c r="C16" s="1">
        <f t="shared" ca="1" si="2"/>
        <v>2</v>
      </c>
      <c r="D16" s="1">
        <f ca="1">VLOOKUP(C16,Hoja2!$A$1:$B$6,2,FALSE)</f>
        <v>15</v>
      </c>
      <c r="E16" s="1">
        <f t="shared" ca="1" si="3"/>
        <v>19</v>
      </c>
      <c r="F16" s="1">
        <f t="shared" ca="1" si="4"/>
        <v>285</v>
      </c>
    </row>
    <row r="17" spans="1:6" x14ac:dyDescent="0.25">
      <c r="A17" s="1">
        <f t="shared" ca="1" si="0"/>
        <v>3</v>
      </c>
      <c r="B17" s="1">
        <f t="shared" ca="1" si="1"/>
        <v>3</v>
      </c>
      <c r="C17" s="1">
        <f t="shared" ca="1" si="2"/>
        <v>2</v>
      </c>
      <c r="D17" s="1">
        <f ca="1">VLOOKUP(C17,Hoja2!$A$1:$B$6,2,FALSE)</f>
        <v>15</v>
      </c>
      <c r="E17" s="1">
        <f t="shared" ca="1" si="3"/>
        <v>4</v>
      </c>
      <c r="F17" s="1">
        <f t="shared" ca="1" si="4"/>
        <v>60</v>
      </c>
    </row>
    <row r="18" spans="1:6" x14ac:dyDescent="0.25">
      <c r="A18" s="1">
        <f t="shared" ca="1" si="0"/>
        <v>10</v>
      </c>
      <c r="B18" s="1">
        <f t="shared" ca="1" si="1"/>
        <v>4</v>
      </c>
      <c r="C18" s="1">
        <f t="shared" ca="1" si="2"/>
        <v>2</v>
      </c>
      <c r="D18" s="1">
        <f ca="1">VLOOKUP(C18,Hoja2!$A$1:$B$6,2,FALSE)</f>
        <v>15</v>
      </c>
      <c r="E18" s="1">
        <f t="shared" ca="1" si="3"/>
        <v>26</v>
      </c>
      <c r="F18" s="1">
        <f t="shared" ca="1" si="4"/>
        <v>390</v>
      </c>
    </row>
    <row r="19" spans="1:6" x14ac:dyDescent="0.25">
      <c r="A19" s="1">
        <f t="shared" ca="1" si="0"/>
        <v>1</v>
      </c>
      <c r="B19" s="1">
        <f t="shared" ca="1" si="1"/>
        <v>4</v>
      </c>
      <c r="C19" s="1">
        <f t="shared" ca="1" si="2"/>
        <v>3</v>
      </c>
      <c r="D19" s="1">
        <f ca="1">VLOOKUP(C19,Hoja2!$A$1:$B$6,2,FALSE)</f>
        <v>8.5</v>
      </c>
      <c r="E19" s="1">
        <f t="shared" ca="1" si="3"/>
        <v>41</v>
      </c>
      <c r="F19" s="1">
        <f t="shared" ca="1" si="4"/>
        <v>348.5</v>
      </c>
    </row>
    <row r="20" spans="1:6" x14ac:dyDescent="0.25">
      <c r="A20" s="1">
        <f t="shared" ca="1" si="0"/>
        <v>3</v>
      </c>
      <c r="B20" s="1">
        <f t="shared" ca="1" si="1"/>
        <v>9</v>
      </c>
      <c r="C20" s="1">
        <f t="shared" ca="1" si="2"/>
        <v>3</v>
      </c>
      <c r="D20" s="1">
        <f ca="1">VLOOKUP(C20,Hoja2!$A$1:$B$6,2,FALSE)</f>
        <v>8.5</v>
      </c>
      <c r="E20" s="1">
        <f t="shared" ca="1" si="3"/>
        <v>22</v>
      </c>
      <c r="F20" s="1">
        <f t="shared" ca="1" si="4"/>
        <v>187</v>
      </c>
    </row>
    <row r="21" spans="1:6" x14ac:dyDescent="0.25">
      <c r="A21" s="1">
        <f t="shared" ca="1" si="0"/>
        <v>6</v>
      </c>
      <c r="B21" s="1">
        <f t="shared" ca="1" si="1"/>
        <v>5</v>
      </c>
      <c r="C21" s="1">
        <f t="shared" ca="1" si="2"/>
        <v>1</v>
      </c>
      <c r="D21" s="1">
        <f ca="1">VLOOKUP(C21,Hoja2!$A$1:$B$6,2,FALSE)</f>
        <v>23.5</v>
      </c>
      <c r="E21" s="1">
        <f t="shared" ca="1" si="3"/>
        <v>2</v>
      </c>
      <c r="F21" s="1">
        <f t="shared" ca="1" si="4"/>
        <v>47</v>
      </c>
    </row>
    <row r="22" spans="1:6" x14ac:dyDescent="0.25">
      <c r="A22" s="1">
        <f t="shared" ca="1" si="0"/>
        <v>9</v>
      </c>
      <c r="B22" s="1">
        <f t="shared" ca="1" si="1"/>
        <v>7</v>
      </c>
      <c r="C22" s="1">
        <f t="shared" ca="1" si="2"/>
        <v>1</v>
      </c>
      <c r="D22" s="1">
        <f ca="1">VLOOKUP(C22,Hoja2!$A$1:$B$6,2,FALSE)</f>
        <v>23.5</v>
      </c>
      <c r="E22" s="1">
        <f t="shared" ca="1" si="3"/>
        <v>12</v>
      </c>
      <c r="F22" s="1">
        <f t="shared" ca="1" si="4"/>
        <v>282</v>
      </c>
    </row>
    <row r="23" spans="1:6" x14ac:dyDescent="0.25">
      <c r="A23" s="1">
        <f t="shared" ca="1" si="0"/>
        <v>3</v>
      </c>
      <c r="B23" s="1">
        <f t="shared" ca="1" si="1"/>
        <v>1</v>
      </c>
      <c r="C23" s="1">
        <f t="shared" ca="1" si="2"/>
        <v>2</v>
      </c>
      <c r="D23" s="1">
        <f ca="1">VLOOKUP(C23,Hoja2!$A$1:$B$6,2,FALSE)</f>
        <v>15</v>
      </c>
      <c r="E23" s="1">
        <f t="shared" ca="1" si="3"/>
        <v>45</v>
      </c>
      <c r="F23" s="1">
        <f t="shared" ca="1" si="4"/>
        <v>675</v>
      </c>
    </row>
    <row r="24" spans="1:6" x14ac:dyDescent="0.25">
      <c r="A24" s="1">
        <f t="shared" ca="1" si="0"/>
        <v>8</v>
      </c>
      <c r="B24" s="1">
        <f t="shared" ca="1" si="1"/>
        <v>8</v>
      </c>
      <c r="C24" s="1">
        <f t="shared" ca="1" si="2"/>
        <v>3</v>
      </c>
      <c r="D24" s="1">
        <f ca="1">VLOOKUP(C24,Hoja2!$A$1:$B$6,2,FALSE)</f>
        <v>8.5</v>
      </c>
      <c r="E24" s="1">
        <f t="shared" ca="1" si="3"/>
        <v>25</v>
      </c>
      <c r="F24" s="1">
        <f t="shared" ca="1" si="4"/>
        <v>212.5</v>
      </c>
    </row>
    <row r="25" spans="1:6" x14ac:dyDescent="0.25">
      <c r="A25" s="1">
        <f t="shared" ca="1" si="0"/>
        <v>1</v>
      </c>
      <c r="B25" s="1">
        <f t="shared" ca="1" si="1"/>
        <v>11</v>
      </c>
      <c r="C25" s="1">
        <f t="shared" ca="1" si="2"/>
        <v>1</v>
      </c>
      <c r="D25" s="1">
        <f ca="1">VLOOKUP(C25,Hoja2!$A$1:$B$6,2,FALSE)</f>
        <v>23.5</v>
      </c>
      <c r="E25" s="1">
        <f t="shared" ca="1" si="3"/>
        <v>11</v>
      </c>
      <c r="F25" s="1">
        <f t="shared" ca="1" si="4"/>
        <v>258.5</v>
      </c>
    </row>
    <row r="26" spans="1:6" x14ac:dyDescent="0.25">
      <c r="A26" s="1">
        <f t="shared" ca="1" si="0"/>
        <v>9</v>
      </c>
      <c r="B26" s="1">
        <f t="shared" ca="1" si="1"/>
        <v>10</v>
      </c>
      <c r="C26" s="1">
        <f t="shared" ca="1" si="2"/>
        <v>1</v>
      </c>
      <c r="D26" s="1">
        <f ca="1">VLOOKUP(C26,Hoja2!$A$1:$B$6,2,FALSE)</f>
        <v>23.5</v>
      </c>
      <c r="E26" s="1">
        <f t="shared" ca="1" si="3"/>
        <v>50</v>
      </c>
      <c r="F26" s="1">
        <f t="shared" ca="1" si="4"/>
        <v>1175</v>
      </c>
    </row>
    <row r="27" spans="1:6" x14ac:dyDescent="0.25">
      <c r="A27" s="1">
        <f t="shared" ca="1" si="0"/>
        <v>6</v>
      </c>
      <c r="B27" s="1">
        <f t="shared" ca="1" si="1"/>
        <v>7</v>
      </c>
      <c r="C27" s="1">
        <f t="shared" ca="1" si="2"/>
        <v>4</v>
      </c>
      <c r="D27" s="1">
        <f ca="1">VLOOKUP(C27,Hoja2!$A$1:$B$6,2,FALSE)</f>
        <v>32</v>
      </c>
      <c r="E27" s="1">
        <f t="shared" ca="1" si="3"/>
        <v>4</v>
      </c>
      <c r="F27" s="1">
        <f t="shared" ca="1" si="4"/>
        <v>128</v>
      </c>
    </row>
    <row r="28" spans="1:6" x14ac:dyDescent="0.25">
      <c r="A28" s="1">
        <f t="shared" ca="1" si="0"/>
        <v>2</v>
      </c>
      <c r="B28" s="1">
        <f t="shared" ca="1" si="1"/>
        <v>2</v>
      </c>
      <c r="C28" s="1">
        <f t="shared" ca="1" si="2"/>
        <v>3</v>
      </c>
      <c r="D28" s="1">
        <f ca="1">VLOOKUP(C28,Hoja2!$A$1:$B$6,2,FALSE)</f>
        <v>8.5</v>
      </c>
      <c r="E28" s="1">
        <f t="shared" ca="1" si="3"/>
        <v>4</v>
      </c>
      <c r="F28" s="1">
        <f t="shared" ca="1" si="4"/>
        <v>34</v>
      </c>
    </row>
    <row r="29" spans="1:6" x14ac:dyDescent="0.25">
      <c r="A29" s="1">
        <f t="shared" ca="1" si="0"/>
        <v>8</v>
      </c>
      <c r="B29" s="1">
        <f t="shared" ca="1" si="1"/>
        <v>12</v>
      </c>
      <c r="C29" s="1">
        <f t="shared" ca="1" si="2"/>
        <v>1</v>
      </c>
      <c r="D29" s="1">
        <f ca="1">VLOOKUP(C29,Hoja2!$A$1:$B$6,2,FALSE)</f>
        <v>23.5</v>
      </c>
      <c r="E29" s="1">
        <f t="shared" ca="1" si="3"/>
        <v>37</v>
      </c>
      <c r="F29" s="1">
        <f t="shared" ca="1" si="4"/>
        <v>869.5</v>
      </c>
    </row>
    <row r="30" spans="1:6" x14ac:dyDescent="0.25">
      <c r="A30" s="1">
        <f t="shared" ca="1" si="0"/>
        <v>2</v>
      </c>
      <c r="B30" s="1">
        <f t="shared" ca="1" si="1"/>
        <v>6</v>
      </c>
      <c r="C30" s="1">
        <f t="shared" ca="1" si="2"/>
        <v>3</v>
      </c>
      <c r="D30" s="1">
        <f ca="1">VLOOKUP(C30,Hoja2!$A$1:$B$6,2,FALSE)</f>
        <v>8.5</v>
      </c>
      <c r="E30" s="1">
        <f t="shared" ca="1" si="3"/>
        <v>30</v>
      </c>
      <c r="F30" s="1">
        <f t="shared" ca="1" si="4"/>
        <v>255</v>
      </c>
    </row>
    <row r="31" spans="1:6" x14ac:dyDescent="0.25">
      <c r="A31" s="1">
        <f t="shared" ca="1" si="0"/>
        <v>10</v>
      </c>
      <c r="B31" s="1">
        <f t="shared" ca="1" si="1"/>
        <v>9</v>
      </c>
      <c r="C31" s="1">
        <f t="shared" ca="1" si="2"/>
        <v>3</v>
      </c>
      <c r="D31" s="1">
        <f ca="1">VLOOKUP(C31,Hoja2!$A$1:$B$6,2,FALSE)</f>
        <v>8.5</v>
      </c>
      <c r="E31" s="1">
        <f t="shared" ca="1" si="3"/>
        <v>31</v>
      </c>
      <c r="F31" s="1">
        <f t="shared" ca="1" si="4"/>
        <v>263.5</v>
      </c>
    </row>
    <row r="32" spans="1:6" x14ac:dyDescent="0.25">
      <c r="A32" s="1">
        <f t="shared" ca="1" si="0"/>
        <v>7</v>
      </c>
      <c r="B32" s="1">
        <f t="shared" ca="1" si="1"/>
        <v>8</v>
      </c>
      <c r="C32" s="1">
        <f t="shared" ca="1" si="2"/>
        <v>3</v>
      </c>
      <c r="D32" s="1">
        <f ca="1">VLOOKUP(C32,Hoja2!$A$1:$B$6,2,FALSE)</f>
        <v>8.5</v>
      </c>
      <c r="E32" s="1">
        <f t="shared" ca="1" si="3"/>
        <v>21</v>
      </c>
      <c r="F32" s="1">
        <f t="shared" ca="1" si="4"/>
        <v>178.5</v>
      </c>
    </row>
    <row r="33" spans="1:6" x14ac:dyDescent="0.25">
      <c r="A33" s="1">
        <f t="shared" ca="1" si="0"/>
        <v>3</v>
      </c>
      <c r="B33" s="1">
        <f t="shared" ca="1" si="1"/>
        <v>2</v>
      </c>
      <c r="C33" s="1">
        <f t="shared" ca="1" si="2"/>
        <v>1</v>
      </c>
      <c r="D33" s="1">
        <f ca="1">VLOOKUP(C33,Hoja2!$A$1:$B$6,2,FALSE)</f>
        <v>23.5</v>
      </c>
      <c r="E33" s="1">
        <f t="shared" ca="1" si="3"/>
        <v>24</v>
      </c>
      <c r="F33" s="1">
        <f t="shared" ca="1" si="4"/>
        <v>564</v>
      </c>
    </row>
    <row r="34" spans="1:6" x14ac:dyDescent="0.25">
      <c r="A34" s="1">
        <f t="shared" ca="1" si="0"/>
        <v>6</v>
      </c>
      <c r="B34" s="1">
        <f t="shared" ca="1" si="1"/>
        <v>8</v>
      </c>
      <c r="C34" s="1">
        <f t="shared" ca="1" si="2"/>
        <v>5</v>
      </c>
      <c r="D34" s="1">
        <f ca="1">VLOOKUP(C34,Hoja2!$A$1:$B$6,2,FALSE)</f>
        <v>52</v>
      </c>
      <c r="E34" s="1">
        <f t="shared" ca="1" si="3"/>
        <v>14</v>
      </c>
      <c r="F34" s="1">
        <f t="shared" ca="1" si="4"/>
        <v>728</v>
      </c>
    </row>
    <row r="35" spans="1:6" x14ac:dyDescent="0.25">
      <c r="A35" s="1">
        <f t="shared" ca="1" si="0"/>
        <v>10</v>
      </c>
      <c r="B35" s="1">
        <f t="shared" ca="1" si="1"/>
        <v>8</v>
      </c>
      <c r="C35" s="1">
        <f t="shared" ca="1" si="2"/>
        <v>1</v>
      </c>
      <c r="D35" s="1">
        <f ca="1">VLOOKUP(C35,Hoja2!$A$1:$B$6,2,FALSE)</f>
        <v>23.5</v>
      </c>
      <c r="E35" s="1">
        <f t="shared" ca="1" si="3"/>
        <v>40</v>
      </c>
      <c r="F35" s="1">
        <f t="shared" ca="1" si="4"/>
        <v>940</v>
      </c>
    </row>
    <row r="36" spans="1:6" x14ac:dyDescent="0.25">
      <c r="A36" s="1">
        <f t="shared" ca="1" si="0"/>
        <v>3</v>
      </c>
      <c r="B36" s="1">
        <f t="shared" ca="1" si="1"/>
        <v>8</v>
      </c>
      <c r="C36" s="1">
        <f t="shared" ca="1" si="2"/>
        <v>1</v>
      </c>
      <c r="D36" s="1">
        <f ca="1">VLOOKUP(C36,Hoja2!$A$1:$B$6,2,FALSE)</f>
        <v>23.5</v>
      </c>
      <c r="E36" s="1">
        <f t="shared" ca="1" si="3"/>
        <v>40</v>
      </c>
      <c r="F36" s="1">
        <f t="shared" ca="1" si="4"/>
        <v>940</v>
      </c>
    </row>
    <row r="37" spans="1:6" x14ac:dyDescent="0.25">
      <c r="A37" s="1">
        <f t="shared" ca="1" si="0"/>
        <v>7</v>
      </c>
      <c r="B37" s="1">
        <f t="shared" ca="1" si="1"/>
        <v>1</v>
      </c>
      <c r="C37" s="1">
        <f t="shared" ca="1" si="2"/>
        <v>4</v>
      </c>
      <c r="D37" s="1">
        <f ca="1">VLOOKUP(C37,Hoja2!$A$1:$B$6,2,FALSE)</f>
        <v>32</v>
      </c>
      <c r="E37" s="1">
        <f t="shared" ca="1" si="3"/>
        <v>42</v>
      </c>
      <c r="F37" s="1">
        <f t="shared" ca="1" si="4"/>
        <v>1344</v>
      </c>
    </row>
    <row r="38" spans="1:6" x14ac:dyDescent="0.25">
      <c r="A38" s="1">
        <f t="shared" ca="1" si="0"/>
        <v>9</v>
      </c>
      <c r="B38" s="1">
        <f t="shared" ca="1" si="1"/>
        <v>2</v>
      </c>
      <c r="C38" s="1">
        <f t="shared" ca="1" si="2"/>
        <v>3</v>
      </c>
      <c r="D38" s="1">
        <f ca="1">VLOOKUP(C38,Hoja2!$A$1:$B$6,2,FALSE)</f>
        <v>8.5</v>
      </c>
      <c r="E38" s="1">
        <f t="shared" ca="1" si="3"/>
        <v>44</v>
      </c>
      <c r="F38" s="1">
        <f t="shared" ca="1" si="4"/>
        <v>374</v>
      </c>
    </row>
    <row r="39" spans="1:6" x14ac:dyDescent="0.25">
      <c r="A39" s="1">
        <f t="shared" ca="1" si="0"/>
        <v>9</v>
      </c>
      <c r="B39" s="1">
        <f t="shared" ca="1" si="1"/>
        <v>4</v>
      </c>
      <c r="C39" s="1">
        <f t="shared" ca="1" si="2"/>
        <v>2</v>
      </c>
      <c r="D39" s="1">
        <f ca="1">VLOOKUP(C39,Hoja2!$A$1:$B$6,2,FALSE)</f>
        <v>15</v>
      </c>
      <c r="E39" s="1">
        <f t="shared" ca="1" si="3"/>
        <v>36</v>
      </c>
      <c r="F39" s="1">
        <f t="shared" ca="1" si="4"/>
        <v>540</v>
      </c>
    </row>
    <row r="40" spans="1:6" x14ac:dyDescent="0.25">
      <c r="A40" s="1">
        <f t="shared" ca="1" si="0"/>
        <v>1</v>
      </c>
      <c r="B40" s="1">
        <f t="shared" ca="1" si="1"/>
        <v>12</v>
      </c>
      <c r="C40" s="1">
        <f t="shared" ca="1" si="2"/>
        <v>5</v>
      </c>
      <c r="D40" s="1">
        <f ca="1">VLOOKUP(C40,Hoja2!$A$1:$B$6,2,FALSE)</f>
        <v>52</v>
      </c>
      <c r="E40" s="1">
        <f t="shared" ca="1" si="3"/>
        <v>17</v>
      </c>
      <c r="F40" s="1">
        <f t="shared" ca="1" si="4"/>
        <v>884</v>
      </c>
    </row>
    <row r="41" spans="1:6" x14ac:dyDescent="0.25">
      <c r="A41" s="1">
        <f t="shared" ca="1" si="0"/>
        <v>4</v>
      </c>
      <c r="B41" s="1">
        <f t="shared" ca="1" si="1"/>
        <v>2</v>
      </c>
      <c r="C41" s="1">
        <f t="shared" ca="1" si="2"/>
        <v>2</v>
      </c>
      <c r="D41" s="1">
        <f ca="1">VLOOKUP(C41,Hoja2!$A$1:$B$6,2,FALSE)</f>
        <v>15</v>
      </c>
      <c r="E41" s="1">
        <f t="shared" ca="1" si="3"/>
        <v>13</v>
      </c>
      <c r="F41" s="1">
        <f t="shared" ca="1" si="4"/>
        <v>195</v>
      </c>
    </row>
    <row r="42" spans="1:6" x14ac:dyDescent="0.25">
      <c r="A42" s="1">
        <f t="shared" ca="1" si="0"/>
        <v>8</v>
      </c>
      <c r="B42" s="1">
        <f t="shared" ca="1" si="1"/>
        <v>12</v>
      </c>
      <c r="C42" s="1">
        <f t="shared" ca="1" si="2"/>
        <v>3</v>
      </c>
      <c r="D42" s="1">
        <f ca="1">VLOOKUP(C42,Hoja2!$A$1:$B$6,2,FALSE)</f>
        <v>8.5</v>
      </c>
      <c r="E42" s="1">
        <f t="shared" ca="1" si="3"/>
        <v>14</v>
      </c>
      <c r="F42" s="1">
        <f t="shared" ca="1" si="4"/>
        <v>119</v>
      </c>
    </row>
    <row r="43" spans="1:6" x14ac:dyDescent="0.25">
      <c r="A43" s="1">
        <f t="shared" ca="1" si="0"/>
        <v>5</v>
      </c>
      <c r="B43" s="1">
        <f t="shared" ca="1" si="1"/>
        <v>3</v>
      </c>
      <c r="C43" s="1">
        <f t="shared" ca="1" si="2"/>
        <v>4</v>
      </c>
      <c r="D43" s="1">
        <f ca="1">VLOOKUP(C43,Hoja2!$A$1:$B$6,2,FALSE)</f>
        <v>32</v>
      </c>
      <c r="E43" s="1">
        <f t="shared" ca="1" si="3"/>
        <v>12</v>
      </c>
      <c r="F43" s="1">
        <f t="shared" ca="1" si="4"/>
        <v>384</v>
      </c>
    </row>
    <row r="44" spans="1:6" x14ac:dyDescent="0.25">
      <c r="A44" s="1">
        <f t="shared" ca="1" si="0"/>
        <v>9</v>
      </c>
      <c r="B44" s="1">
        <f t="shared" ca="1" si="1"/>
        <v>7</v>
      </c>
      <c r="C44" s="1">
        <f t="shared" ca="1" si="2"/>
        <v>4</v>
      </c>
      <c r="D44" s="1">
        <f ca="1">VLOOKUP(C44,Hoja2!$A$1:$B$6,2,FALSE)</f>
        <v>32</v>
      </c>
      <c r="E44" s="1">
        <f t="shared" ca="1" si="3"/>
        <v>1</v>
      </c>
      <c r="F44" s="1">
        <f t="shared" ca="1" si="4"/>
        <v>32</v>
      </c>
    </row>
    <row r="45" spans="1:6" x14ac:dyDescent="0.25">
      <c r="A45" s="1">
        <f t="shared" ca="1" si="0"/>
        <v>2</v>
      </c>
      <c r="B45" s="1">
        <f t="shared" ca="1" si="1"/>
        <v>1</v>
      </c>
      <c r="C45" s="1">
        <f t="shared" ca="1" si="2"/>
        <v>2</v>
      </c>
      <c r="D45" s="1">
        <f ca="1">VLOOKUP(C45,Hoja2!$A$1:$B$6,2,FALSE)</f>
        <v>15</v>
      </c>
      <c r="E45" s="1">
        <f t="shared" ca="1" si="3"/>
        <v>7</v>
      </c>
      <c r="F45" s="1">
        <f t="shared" ca="1" si="4"/>
        <v>105</v>
      </c>
    </row>
    <row r="46" spans="1:6" x14ac:dyDescent="0.25">
      <c r="A46" s="1">
        <f t="shared" ca="1" si="0"/>
        <v>8</v>
      </c>
      <c r="B46" s="1">
        <f t="shared" ca="1" si="1"/>
        <v>8</v>
      </c>
      <c r="C46" s="1">
        <f t="shared" ca="1" si="2"/>
        <v>3</v>
      </c>
      <c r="D46" s="1">
        <f ca="1">VLOOKUP(C46,Hoja2!$A$1:$B$6,2,FALSE)</f>
        <v>8.5</v>
      </c>
      <c r="E46" s="1">
        <f t="shared" ca="1" si="3"/>
        <v>24</v>
      </c>
      <c r="F46" s="1">
        <f t="shared" ca="1" si="4"/>
        <v>204</v>
      </c>
    </row>
    <row r="47" spans="1:6" x14ac:dyDescent="0.25">
      <c r="A47" s="1">
        <f t="shared" ca="1" si="0"/>
        <v>7</v>
      </c>
      <c r="B47" s="1">
        <f t="shared" ca="1" si="1"/>
        <v>8</v>
      </c>
      <c r="C47" s="1">
        <f t="shared" ca="1" si="2"/>
        <v>5</v>
      </c>
      <c r="D47" s="1">
        <f ca="1">VLOOKUP(C47,Hoja2!$A$1:$B$6,2,FALSE)</f>
        <v>52</v>
      </c>
      <c r="E47" s="1">
        <f t="shared" ca="1" si="3"/>
        <v>36</v>
      </c>
      <c r="F47" s="1">
        <f t="shared" ca="1" si="4"/>
        <v>1872</v>
      </c>
    </row>
    <row r="48" spans="1:6" x14ac:dyDescent="0.25">
      <c r="A48" s="1">
        <f t="shared" ca="1" si="0"/>
        <v>6</v>
      </c>
      <c r="B48" s="1">
        <f t="shared" ca="1" si="1"/>
        <v>11</v>
      </c>
      <c r="C48" s="1">
        <f t="shared" ca="1" si="2"/>
        <v>3</v>
      </c>
      <c r="D48" s="1">
        <f ca="1">VLOOKUP(C48,Hoja2!$A$1:$B$6,2,FALSE)</f>
        <v>8.5</v>
      </c>
      <c r="E48" s="1">
        <f t="shared" ca="1" si="3"/>
        <v>2</v>
      </c>
      <c r="F48" s="1">
        <f t="shared" ca="1" si="4"/>
        <v>17</v>
      </c>
    </row>
    <row r="49" spans="1:6" x14ac:dyDescent="0.25">
      <c r="A49" s="1">
        <f t="shared" ca="1" si="0"/>
        <v>3</v>
      </c>
      <c r="B49" s="1">
        <f t="shared" ca="1" si="1"/>
        <v>5</v>
      </c>
      <c r="C49" s="1">
        <f t="shared" ca="1" si="2"/>
        <v>3</v>
      </c>
      <c r="D49" s="1">
        <f ca="1">VLOOKUP(C49,Hoja2!$A$1:$B$6,2,FALSE)</f>
        <v>8.5</v>
      </c>
      <c r="E49" s="1">
        <f t="shared" ca="1" si="3"/>
        <v>41</v>
      </c>
      <c r="F49" s="1">
        <f t="shared" ca="1" si="4"/>
        <v>348.5</v>
      </c>
    </row>
    <row r="50" spans="1:6" x14ac:dyDescent="0.25">
      <c r="A50" s="1">
        <f t="shared" ca="1" si="0"/>
        <v>2</v>
      </c>
      <c r="B50" s="1">
        <f t="shared" ca="1" si="1"/>
        <v>11</v>
      </c>
      <c r="C50" s="1">
        <f t="shared" ca="1" si="2"/>
        <v>1</v>
      </c>
      <c r="D50" s="1">
        <f ca="1">VLOOKUP(C50,Hoja2!$A$1:$B$6,2,FALSE)</f>
        <v>23.5</v>
      </c>
      <c r="E50" s="1">
        <f t="shared" ca="1" si="3"/>
        <v>2</v>
      </c>
      <c r="F50" s="1">
        <f t="shared" ca="1" si="4"/>
        <v>47</v>
      </c>
    </row>
    <row r="51" spans="1:6" x14ac:dyDescent="0.25">
      <c r="A51" s="1">
        <f t="shared" ca="1" si="0"/>
        <v>10</v>
      </c>
      <c r="B51" s="1">
        <f t="shared" ca="1" si="1"/>
        <v>10</v>
      </c>
      <c r="C51" s="1">
        <f t="shared" ca="1" si="2"/>
        <v>4</v>
      </c>
      <c r="D51" s="1">
        <f ca="1">VLOOKUP(C51,Hoja2!$A$1:$B$6,2,FALSE)</f>
        <v>32</v>
      </c>
      <c r="E51" s="1">
        <f t="shared" ca="1" si="3"/>
        <v>36</v>
      </c>
      <c r="F51" s="1">
        <f t="shared" ca="1" si="4"/>
        <v>1152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1" sqref="B21"/>
    </sheetView>
  </sheetViews>
  <sheetFormatPr baseColWidth="10" defaultRowHeight="15" x14ac:dyDescent="0.25"/>
  <sheetData>
    <row r="1" spans="1:2" x14ac:dyDescent="0.25">
      <c r="A1" s="1" t="s">
        <v>6</v>
      </c>
      <c r="B1" s="1" t="s">
        <v>7</v>
      </c>
    </row>
    <row r="2" spans="1:2" x14ac:dyDescent="0.25">
      <c r="A2" s="1">
        <v>1</v>
      </c>
      <c r="B2" s="1">
        <v>23.5</v>
      </c>
    </row>
    <row r="3" spans="1:2" x14ac:dyDescent="0.25">
      <c r="A3" s="1">
        <v>2</v>
      </c>
      <c r="B3" s="1">
        <v>15</v>
      </c>
    </row>
    <row r="4" spans="1:2" x14ac:dyDescent="0.25">
      <c r="A4" s="1">
        <v>3</v>
      </c>
      <c r="B4" s="1">
        <v>8.5</v>
      </c>
    </row>
    <row r="5" spans="1:2" x14ac:dyDescent="0.25">
      <c r="A5" s="1">
        <v>4</v>
      </c>
      <c r="B5" s="1">
        <v>32</v>
      </c>
    </row>
    <row r="6" spans="1:2" x14ac:dyDescent="0.25">
      <c r="A6" s="1">
        <v>5</v>
      </c>
      <c r="B6" s="1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2023-10-06T02:22:37Z</dcterms:created>
  <dcterms:modified xsi:type="dcterms:W3CDTF">2023-10-22T21:03:27Z</dcterms:modified>
</cp:coreProperties>
</file>