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Hoja1" sheetId="1" r:id="rId1"/>
    <sheet name="Hoja2" sheetId="2" r:id="rId2"/>
    <sheet name="Hoja3" sheetId="3" r:id="rId3"/>
    <sheet name="Hoja4" sheetId="4" r:id="rId4"/>
    <sheet name="Hoja5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" l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4" i="1"/>
  <c r="A52" i="1"/>
  <c r="A53" i="1"/>
  <c r="A36" i="1"/>
  <c r="A37" i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6" i="1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5" i="1"/>
  <c r="A4" i="1"/>
  <c r="K7" i="1" l="1"/>
  <c r="F6" i="5" s="1"/>
  <c r="K8" i="1"/>
  <c r="F7" i="5" s="1"/>
  <c r="K5" i="1"/>
  <c r="F4" i="5" s="1"/>
  <c r="K6" i="1"/>
  <c r="F5" i="5" s="1"/>
  <c r="K4" i="1"/>
  <c r="F3" i="5" s="1"/>
  <c r="E6" i="5"/>
  <c r="E7" i="5"/>
  <c r="E4" i="5"/>
  <c r="E5" i="5"/>
  <c r="E3" i="5"/>
  <c r="J8" i="1"/>
  <c r="J5" i="1"/>
  <c r="J6" i="1"/>
  <c r="J4" i="1"/>
  <c r="J7" i="1"/>
  <c r="E52" i="1"/>
  <c r="G52" i="1"/>
  <c r="E50" i="1"/>
  <c r="G50" i="1"/>
  <c r="E48" i="1"/>
  <c r="G48" i="1"/>
  <c r="E46" i="1"/>
  <c r="G46" i="1"/>
  <c r="E44" i="1"/>
  <c r="G44" i="1"/>
  <c r="E42" i="1"/>
  <c r="G42" i="1"/>
  <c r="E40" i="1"/>
  <c r="G40" i="1"/>
  <c r="E38" i="1"/>
  <c r="G38" i="1"/>
  <c r="E36" i="1"/>
  <c r="G36" i="1"/>
  <c r="E34" i="1"/>
  <c r="G34" i="1"/>
  <c r="E32" i="1"/>
  <c r="G32" i="1"/>
  <c r="E30" i="1"/>
  <c r="G30" i="1"/>
  <c r="E28" i="1"/>
  <c r="G28" i="1"/>
  <c r="E26" i="1"/>
  <c r="G26" i="1"/>
  <c r="E24" i="1"/>
  <c r="G24" i="1"/>
  <c r="E22" i="1"/>
  <c r="G22" i="1"/>
  <c r="E20" i="1"/>
  <c r="G20" i="1"/>
  <c r="E18" i="1"/>
  <c r="G18" i="1"/>
  <c r="E16" i="1"/>
  <c r="G16" i="1"/>
  <c r="E14" i="1"/>
  <c r="G14" i="1"/>
  <c r="E12" i="1"/>
  <c r="G12" i="1"/>
  <c r="E10" i="1"/>
  <c r="G10" i="1"/>
  <c r="E8" i="1"/>
  <c r="G8" i="1"/>
  <c r="E6" i="1"/>
  <c r="G6" i="1"/>
  <c r="E53" i="1"/>
  <c r="G53" i="1"/>
  <c r="E51" i="1"/>
  <c r="G51" i="1"/>
  <c r="E49" i="1"/>
  <c r="G49" i="1"/>
  <c r="E47" i="1"/>
  <c r="G47" i="1"/>
  <c r="E45" i="1"/>
  <c r="G45" i="1"/>
  <c r="E43" i="1"/>
  <c r="G43" i="1"/>
  <c r="E41" i="1"/>
  <c r="G41" i="1"/>
  <c r="E39" i="1"/>
  <c r="G39" i="1"/>
  <c r="E37" i="1"/>
  <c r="G37" i="1"/>
  <c r="E35" i="1"/>
  <c r="G35" i="1"/>
  <c r="E33" i="1"/>
  <c r="G33" i="1"/>
  <c r="E31" i="1"/>
  <c r="G31" i="1"/>
  <c r="E29" i="1"/>
  <c r="G29" i="1"/>
  <c r="E27" i="1"/>
  <c r="G27" i="1"/>
  <c r="E25" i="1"/>
  <c r="G25" i="1"/>
  <c r="E23" i="1"/>
  <c r="G23" i="1"/>
  <c r="E21" i="1"/>
  <c r="G21" i="1"/>
  <c r="E19" i="1"/>
  <c r="G19" i="1"/>
  <c r="E17" i="1"/>
  <c r="G17" i="1"/>
  <c r="E15" i="1"/>
  <c r="G15" i="1"/>
  <c r="E13" i="1"/>
  <c r="G13" i="1"/>
  <c r="E11" i="1"/>
  <c r="G11" i="1"/>
  <c r="E9" i="1"/>
  <c r="G9" i="1"/>
  <c r="E7" i="1"/>
  <c r="G7" i="1"/>
  <c r="I6" i="1" s="1"/>
  <c r="C5" i="5" s="1"/>
  <c r="D5" i="5" s="1"/>
  <c r="E5" i="1"/>
  <c r="G5" i="1"/>
  <c r="E4" i="1"/>
  <c r="G4" i="1"/>
  <c r="I4" i="1" s="1"/>
  <c r="C3" i="5" s="1"/>
  <c r="F8" i="5" l="1"/>
  <c r="E8" i="5"/>
  <c r="D3" i="5"/>
  <c r="I8" i="1"/>
  <c r="C7" i="5" s="1"/>
  <c r="D7" i="5" s="1"/>
  <c r="I7" i="1"/>
  <c r="C6" i="5" s="1"/>
  <c r="D6" i="5" s="1"/>
  <c r="I5" i="1"/>
  <c r="C4" i="5" s="1"/>
  <c r="D4" i="5" s="1"/>
  <c r="D8" i="5" l="1"/>
  <c r="C8" i="5"/>
</calcChain>
</file>

<file path=xl/sharedStrings.xml><?xml version="1.0" encoding="utf-8"?>
<sst xmlns="http://schemas.openxmlformats.org/spreadsheetml/2006/main" count="36" uniqueCount="35">
  <si>
    <t>N° de vendedor</t>
  </si>
  <si>
    <t>Importe Venta</t>
  </si>
  <si>
    <t>Plus por Ventas</t>
  </si>
  <si>
    <t>N° de Vendedor</t>
  </si>
  <si>
    <t>N° de Venta</t>
  </si>
  <si>
    <t>Código de Venta</t>
  </si>
  <si>
    <t>Tabla de Ventas</t>
  </si>
  <si>
    <t>Sueldo Básico</t>
  </si>
  <si>
    <t>Antigüedad en Años</t>
  </si>
  <si>
    <t>Datos del Vendedor</t>
  </si>
  <si>
    <t>Tipo de Venta</t>
  </si>
  <si>
    <t>Comisión</t>
  </si>
  <si>
    <t>Cód. Venta</t>
  </si>
  <si>
    <t>Hardware</t>
  </si>
  <si>
    <t>Software</t>
  </si>
  <si>
    <t>Datos de Venta</t>
  </si>
  <si>
    <t>Antigüedad en años</t>
  </si>
  <si>
    <t>Porcentaje Sueldo Bruto</t>
  </si>
  <si>
    <t>Menor que 2</t>
  </si>
  <si>
    <t>Mayor o igual que 2 y menor que 5</t>
  </si>
  <si>
    <t>Mayor o igual que 5 y menor que 8</t>
  </si>
  <si>
    <t>Mayor o igual a 8</t>
  </si>
  <si>
    <t>Plus por Antigüedad</t>
  </si>
  <si>
    <t>Plus por antigüedad</t>
  </si>
  <si>
    <t>Comisión por ventas</t>
  </si>
  <si>
    <t>Total a cobrar</t>
  </si>
  <si>
    <t>Cantidad de ventas</t>
  </si>
  <si>
    <t>Monto de las ventas</t>
  </si>
  <si>
    <t>Total:</t>
  </si>
  <si>
    <t>Tabla de Vendedores</t>
  </si>
  <si>
    <t>n° vendedor</t>
  </si>
  <si>
    <t>comisión por ventas</t>
  </si>
  <si>
    <t>n° ventas</t>
  </si>
  <si>
    <t>monto ventas</t>
  </si>
  <si>
    <t>auxiliar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</si>
</sst>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3"/>
  <sheetViews>
    <sheetView tabSelected="1" workbookViewId="0">
      <selection activeCell="N7" sqref="N7"/>
    </sheetView>
  </sheetViews>
  <sheetFormatPr baseColWidth="10" defaultColWidth="9.140625" defaultRowHeight="15" x14ac:dyDescent="0.25"/>
  <cols>
    <col min="1" max="1" width="12.28515625" customWidth="1"/>
    <col min="2" max="2" width="15.5703125" customWidth="1"/>
    <col min="3" max="3" width="16.28515625" customWidth="1"/>
    <col min="4" max="4" width="14.7109375" customWidth="1"/>
    <col min="5" max="5" width="15.85546875" customWidth="1"/>
    <col min="8" max="8" width="13.28515625" customWidth="1"/>
    <col min="9" max="9" width="19.28515625" customWidth="1"/>
    <col min="11" max="11" width="15.140625" customWidth="1"/>
  </cols>
  <sheetData>
    <row r="1" spans="1:11" x14ac:dyDescent="0.25">
      <c r="A1" s="3" t="s">
        <v>6</v>
      </c>
      <c r="B1" s="3"/>
      <c r="C1" s="3"/>
      <c r="D1" s="3"/>
      <c r="E1" s="3"/>
      <c r="G1" s="3" t="s">
        <v>34</v>
      </c>
      <c r="H1" s="9"/>
      <c r="I1" s="9"/>
      <c r="J1" s="9"/>
      <c r="K1" s="9"/>
    </row>
    <row r="2" spans="1:11" x14ac:dyDescent="0.25">
      <c r="A2" s="3"/>
      <c r="B2" s="3"/>
      <c r="C2" s="3"/>
      <c r="D2" s="3"/>
      <c r="E2" s="3"/>
      <c r="G2" s="9"/>
      <c r="H2" s="9"/>
      <c r="I2" s="9"/>
      <c r="J2" s="9"/>
      <c r="K2" s="9"/>
    </row>
    <row r="3" spans="1:11" x14ac:dyDescent="0.25">
      <c r="A3" s="2" t="s">
        <v>4</v>
      </c>
      <c r="B3" s="2" t="s">
        <v>3</v>
      </c>
      <c r="C3" s="2" t="s">
        <v>5</v>
      </c>
      <c r="D3" s="2" t="s">
        <v>1</v>
      </c>
      <c r="E3" s="2" t="s">
        <v>2</v>
      </c>
      <c r="G3" s="7"/>
      <c r="H3" s="8" t="s">
        <v>30</v>
      </c>
      <c r="I3" s="8" t="s">
        <v>31</v>
      </c>
      <c r="J3" s="8" t="s">
        <v>32</v>
      </c>
      <c r="K3" s="8" t="s">
        <v>33</v>
      </c>
    </row>
    <row r="4" spans="1:11" x14ac:dyDescent="0.25">
      <c r="A4" s="1">
        <f>1</f>
        <v>1</v>
      </c>
      <c r="B4" s="1">
        <f ca="1">RANDBETWEEN(1,5)</f>
        <v>2</v>
      </c>
      <c r="C4" s="1">
        <f ca="1">RANDBETWEEN(1,2)</f>
        <v>1</v>
      </c>
      <c r="D4" s="1">
        <f ca="1">RANDBETWEEN(50,340)</f>
        <v>266</v>
      </c>
      <c r="E4" s="5">
        <f ca="1">VLOOKUP(C4,Hoja3!$A$2:$C$5,3,FALSE)</f>
        <v>0.05</v>
      </c>
      <c r="G4" s="7">
        <f ca="1">IF(C4=1,5,2)</f>
        <v>5</v>
      </c>
      <c r="H4" s="7">
        <v>1</v>
      </c>
      <c r="I4" s="7">
        <f ca="1">SUMIF(B4:B53,"=1",G4:G53)</f>
        <v>28</v>
      </c>
      <c r="J4" s="7">
        <f ca="1">COUNTIF($B$4:$B$53,"=1")</f>
        <v>8</v>
      </c>
      <c r="K4" s="7">
        <f ca="1">SUMIF($B$4:$B$53,"=1",$D$4:$D$53)</f>
        <v>1414</v>
      </c>
    </row>
    <row r="5" spans="1:11" x14ac:dyDescent="0.25">
      <c r="A5" s="1">
        <f>A4+1</f>
        <v>2</v>
      </c>
      <c r="B5" s="1">
        <f t="shared" ref="B5:B53" ca="1" si="0">RANDBETWEEN(1,5)</f>
        <v>3</v>
      </c>
      <c r="C5" s="1">
        <f t="shared" ref="C5:C53" ca="1" si="1">RANDBETWEEN(1,2)</f>
        <v>1</v>
      </c>
      <c r="D5" s="1">
        <f t="shared" ref="D5:D53" ca="1" si="2">RANDBETWEEN(50,340)</f>
        <v>187</v>
      </c>
      <c r="E5" s="5">
        <f ca="1">VLOOKUP(C5,Hoja3!$A$2:$C$5,3,FALSE)</f>
        <v>0.05</v>
      </c>
      <c r="G5" s="7">
        <f t="shared" ref="G5:G53" ca="1" si="3">IF(C5=1,5,2)</f>
        <v>5</v>
      </c>
      <c r="H5" s="7">
        <v>2</v>
      </c>
      <c r="I5" s="7">
        <f ca="1">SUMIF(B5:B54,"=2",G5:G54)</f>
        <v>61</v>
      </c>
      <c r="J5" s="7">
        <f ca="1">COUNTIF($B$4:$B$53,"=2")</f>
        <v>18</v>
      </c>
      <c r="K5" s="7">
        <f ca="1">SUMIF($B$4:$B$53,"=2",$D$4:$D$53)</f>
        <v>3453</v>
      </c>
    </row>
    <row r="6" spans="1:11" x14ac:dyDescent="0.25">
      <c r="A6" s="1">
        <f t="shared" ref="A6:A53" si="4">A5+1</f>
        <v>3</v>
      </c>
      <c r="B6" s="1">
        <f t="shared" ca="1" si="0"/>
        <v>1</v>
      </c>
      <c r="C6" s="1">
        <f t="shared" ca="1" si="1"/>
        <v>1</v>
      </c>
      <c r="D6" s="1">
        <f t="shared" ca="1" si="2"/>
        <v>150</v>
      </c>
      <c r="E6" s="5">
        <f ca="1">VLOOKUP(C6,Hoja3!$A$2:$C$5,3,FALSE)</f>
        <v>0.05</v>
      </c>
      <c r="G6" s="7">
        <f t="shared" ca="1" si="3"/>
        <v>5</v>
      </c>
      <c r="H6" s="7">
        <v>3</v>
      </c>
      <c r="I6" s="7">
        <f ca="1">SUMIF(B6:B55,"=3",G6:G55)</f>
        <v>29</v>
      </c>
      <c r="J6" s="7">
        <f ca="1">COUNTIF($B$4:$B$53,"=3")</f>
        <v>8</v>
      </c>
      <c r="K6" s="7">
        <f ca="1">SUMIF($B$4:$B$53,"=3",$D$4:$D$53)</f>
        <v>1418</v>
      </c>
    </row>
    <row r="7" spans="1:11" x14ac:dyDescent="0.25">
      <c r="A7" s="1">
        <f t="shared" si="4"/>
        <v>4</v>
      </c>
      <c r="B7" s="1">
        <f t="shared" ca="1" si="0"/>
        <v>1</v>
      </c>
      <c r="C7" s="1">
        <f t="shared" ca="1" si="1"/>
        <v>1</v>
      </c>
      <c r="D7" s="1">
        <f t="shared" ca="1" si="2"/>
        <v>293</v>
      </c>
      <c r="E7" s="5">
        <f ca="1">VLOOKUP(C7,Hoja3!$A$2:$C$5,3,FALSE)</f>
        <v>0.05</v>
      </c>
      <c r="G7" s="7">
        <f t="shared" ca="1" si="3"/>
        <v>5</v>
      </c>
      <c r="H7" s="7">
        <v>4</v>
      </c>
      <c r="I7" s="7">
        <f ca="1">SUMIF(B7:B56,"=4",G7:G56)</f>
        <v>23</v>
      </c>
      <c r="J7" s="7">
        <f t="shared" ref="J5:J8" ca="1" si="5">COUNTIF($B$4:$B$53,"=1")</f>
        <v>8</v>
      </c>
      <c r="K7" s="7">
        <f ca="1">SUMIF($B$4:$B$53,"=4",$D$4:$D$53)</f>
        <v>1425</v>
      </c>
    </row>
    <row r="8" spans="1:11" x14ac:dyDescent="0.25">
      <c r="A8" s="1">
        <f t="shared" si="4"/>
        <v>5</v>
      </c>
      <c r="B8" s="1">
        <f t="shared" ca="1" si="0"/>
        <v>3</v>
      </c>
      <c r="C8" s="1">
        <f t="shared" ca="1" si="1"/>
        <v>1</v>
      </c>
      <c r="D8" s="1">
        <f t="shared" ca="1" si="2"/>
        <v>180</v>
      </c>
      <c r="E8" s="5">
        <f ca="1">VLOOKUP(C8,Hoja3!$A$2:$C$5,3,FALSE)</f>
        <v>0.05</v>
      </c>
      <c r="G8" s="7">
        <f t="shared" ca="1" si="3"/>
        <v>5</v>
      </c>
      <c r="H8" s="7">
        <v>5</v>
      </c>
      <c r="I8" s="7">
        <f ca="1">SUMIF(B8:B57,"=5",G8:G57)</f>
        <v>21</v>
      </c>
      <c r="J8" s="7">
        <f ca="1">COUNTIF($B$4:$B$53,"=4")</f>
        <v>7</v>
      </c>
      <c r="K8" s="7">
        <f ca="1">SUMIF($B$4:$B$53,"=5",$D$4:$D$53)</f>
        <v>1173</v>
      </c>
    </row>
    <row r="9" spans="1:11" x14ac:dyDescent="0.25">
      <c r="A9" s="1">
        <f t="shared" si="4"/>
        <v>6</v>
      </c>
      <c r="B9" s="1">
        <f t="shared" ca="1" si="0"/>
        <v>5</v>
      </c>
      <c r="C9" s="1">
        <f t="shared" ca="1" si="1"/>
        <v>2</v>
      </c>
      <c r="D9" s="1">
        <f t="shared" ca="1" si="2"/>
        <v>199</v>
      </c>
      <c r="E9" s="5">
        <f ca="1">VLOOKUP(C9,Hoja3!$A$2:$C$5,3,FALSE)</f>
        <v>0.02</v>
      </c>
      <c r="G9" s="7">
        <f t="shared" ca="1" si="3"/>
        <v>2</v>
      </c>
      <c r="H9" s="7"/>
      <c r="I9" s="7"/>
      <c r="J9" s="7"/>
      <c r="K9" s="7"/>
    </row>
    <row r="10" spans="1:11" x14ac:dyDescent="0.25">
      <c r="A10" s="1">
        <f t="shared" si="4"/>
        <v>7</v>
      </c>
      <c r="B10" s="1">
        <f t="shared" ca="1" si="0"/>
        <v>2</v>
      </c>
      <c r="C10" s="1">
        <f t="shared" ca="1" si="1"/>
        <v>2</v>
      </c>
      <c r="D10" s="1">
        <f t="shared" ca="1" si="2"/>
        <v>204</v>
      </c>
      <c r="E10" s="5">
        <f ca="1">VLOOKUP(C10,Hoja3!$A$2:$C$5,3,FALSE)</f>
        <v>0.02</v>
      </c>
      <c r="G10" s="7">
        <f t="shared" ca="1" si="3"/>
        <v>2</v>
      </c>
      <c r="H10" s="7"/>
      <c r="I10" s="7"/>
      <c r="J10" s="7"/>
      <c r="K10" s="7"/>
    </row>
    <row r="11" spans="1:11" x14ac:dyDescent="0.25">
      <c r="A11" s="1">
        <f t="shared" si="4"/>
        <v>8</v>
      </c>
      <c r="B11" s="1">
        <f t="shared" ca="1" si="0"/>
        <v>2</v>
      </c>
      <c r="C11" s="1">
        <f t="shared" ca="1" si="1"/>
        <v>1</v>
      </c>
      <c r="D11" s="1">
        <f t="shared" ca="1" si="2"/>
        <v>250</v>
      </c>
      <c r="E11" s="5">
        <f ca="1">VLOOKUP(C11,Hoja3!$A$2:$C$5,3,FALSE)</f>
        <v>0.05</v>
      </c>
      <c r="G11" s="7">
        <f t="shared" ca="1" si="3"/>
        <v>5</v>
      </c>
      <c r="H11" s="7"/>
      <c r="I11" s="7"/>
      <c r="J11" s="7"/>
      <c r="K11" s="7"/>
    </row>
    <row r="12" spans="1:11" x14ac:dyDescent="0.25">
      <c r="A12" s="1">
        <f t="shared" si="4"/>
        <v>9</v>
      </c>
      <c r="B12" s="1">
        <f t="shared" ca="1" si="0"/>
        <v>1</v>
      </c>
      <c r="C12" s="1">
        <f t="shared" ca="1" si="1"/>
        <v>2</v>
      </c>
      <c r="D12" s="1">
        <f t="shared" ca="1" si="2"/>
        <v>239</v>
      </c>
      <c r="E12" s="5">
        <f ca="1">VLOOKUP(C12,Hoja3!$A$2:$C$5,3,FALSE)</f>
        <v>0.02</v>
      </c>
      <c r="G12" s="7">
        <f t="shared" ca="1" si="3"/>
        <v>2</v>
      </c>
      <c r="H12" s="7"/>
      <c r="I12" s="7"/>
      <c r="J12" s="7"/>
      <c r="K12" s="7"/>
    </row>
    <row r="13" spans="1:11" x14ac:dyDescent="0.25">
      <c r="A13" s="1">
        <f t="shared" si="4"/>
        <v>10</v>
      </c>
      <c r="B13" s="1">
        <f t="shared" ca="1" si="0"/>
        <v>2</v>
      </c>
      <c r="C13" s="1">
        <f t="shared" ca="1" si="1"/>
        <v>1</v>
      </c>
      <c r="D13" s="1">
        <f t="shared" ca="1" si="2"/>
        <v>227</v>
      </c>
      <c r="E13" s="5">
        <f ca="1">VLOOKUP(C13,Hoja3!$A$2:$C$5,3,FALSE)</f>
        <v>0.05</v>
      </c>
      <c r="G13" s="7">
        <f t="shared" ca="1" si="3"/>
        <v>5</v>
      </c>
      <c r="H13" s="7"/>
      <c r="I13" s="7"/>
      <c r="J13" s="7"/>
      <c r="K13" s="7"/>
    </row>
    <row r="14" spans="1:11" x14ac:dyDescent="0.25">
      <c r="A14" s="1">
        <f t="shared" si="4"/>
        <v>11</v>
      </c>
      <c r="B14" s="1">
        <f t="shared" ca="1" si="0"/>
        <v>2</v>
      </c>
      <c r="C14" s="1">
        <f t="shared" ca="1" si="1"/>
        <v>1</v>
      </c>
      <c r="D14" s="1">
        <f t="shared" ca="1" si="2"/>
        <v>270</v>
      </c>
      <c r="E14" s="5">
        <f ca="1">VLOOKUP(C14,Hoja3!$A$2:$C$5,3,FALSE)</f>
        <v>0.05</v>
      </c>
      <c r="G14" s="7">
        <f t="shared" ca="1" si="3"/>
        <v>5</v>
      </c>
      <c r="H14" s="7"/>
      <c r="I14" s="7"/>
      <c r="J14" s="7"/>
      <c r="K14" s="7"/>
    </row>
    <row r="15" spans="1:11" x14ac:dyDescent="0.25">
      <c r="A15" s="1">
        <f t="shared" si="4"/>
        <v>12</v>
      </c>
      <c r="B15" s="1">
        <f t="shared" ca="1" si="0"/>
        <v>2</v>
      </c>
      <c r="C15" s="1">
        <f t="shared" ca="1" si="1"/>
        <v>1</v>
      </c>
      <c r="D15" s="1">
        <f t="shared" ca="1" si="2"/>
        <v>178</v>
      </c>
      <c r="E15" s="5">
        <f ca="1">VLOOKUP(C15,Hoja3!$A$2:$C$5,3,FALSE)</f>
        <v>0.05</v>
      </c>
      <c r="G15" s="7">
        <f t="shared" ca="1" si="3"/>
        <v>5</v>
      </c>
      <c r="H15" s="7"/>
      <c r="I15" s="7"/>
      <c r="J15" s="7"/>
      <c r="K15" s="7"/>
    </row>
    <row r="16" spans="1:11" x14ac:dyDescent="0.25">
      <c r="A16" s="1">
        <f t="shared" si="4"/>
        <v>13</v>
      </c>
      <c r="B16" s="1">
        <f t="shared" ca="1" si="0"/>
        <v>5</v>
      </c>
      <c r="C16" s="1">
        <f t="shared" ca="1" si="1"/>
        <v>2</v>
      </c>
      <c r="D16" s="1">
        <f t="shared" ca="1" si="2"/>
        <v>80</v>
      </c>
      <c r="E16" s="5">
        <f ca="1">VLOOKUP(C16,Hoja3!$A$2:$C$5,3,FALSE)</f>
        <v>0.02</v>
      </c>
      <c r="G16" s="7">
        <f t="shared" ca="1" si="3"/>
        <v>2</v>
      </c>
      <c r="H16" s="7"/>
      <c r="I16" s="7"/>
      <c r="J16" s="7"/>
      <c r="K16" s="7"/>
    </row>
    <row r="17" spans="1:11" x14ac:dyDescent="0.25">
      <c r="A17" s="1">
        <f t="shared" si="4"/>
        <v>14</v>
      </c>
      <c r="B17" s="1">
        <f t="shared" ca="1" si="0"/>
        <v>5</v>
      </c>
      <c r="C17" s="1">
        <f t="shared" ca="1" si="1"/>
        <v>2</v>
      </c>
      <c r="D17" s="1">
        <f t="shared" ca="1" si="2"/>
        <v>58</v>
      </c>
      <c r="E17" s="5">
        <f ca="1">VLOOKUP(C17,Hoja3!$A$2:$C$5,3,FALSE)</f>
        <v>0.02</v>
      </c>
      <c r="G17" s="7">
        <f t="shared" ca="1" si="3"/>
        <v>2</v>
      </c>
      <c r="H17" s="7"/>
      <c r="I17" s="7"/>
      <c r="J17" s="7"/>
      <c r="K17" s="7"/>
    </row>
    <row r="18" spans="1:11" x14ac:dyDescent="0.25">
      <c r="A18" s="1">
        <f t="shared" si="4"/>
        <v>15</v>
      </c>
      <c r="B18" s="1">
        <f t="shared" ca="1" si="0"/>
        <v>5</v>
      </c>
      <c r="C18" s="1">
        <f t="shared" ca="1" si="1"/>
        <v>2</v>
      </c>
      <c r="D18" s="1">
        <f t="shared" ca="1" si="2"/>
        <v>170</v>
      </c>
      <c r="E18" s="5">
        <f ca="1">VLOOKUP(C18,Hoja3!$A$2:$C$5,3,FALSE)</f>
        <v>0.02</v>
      </c>
      <c r="G18" s="7">
        <f t="shared" ca="1" si="3"/>
        <v>2</v>
      </c>
      <c r="H18" s="7"/>
      <c r="I18" s="7"/>
      <c r="J18" s="7"/>
      <c r="K18" s="7"/>
    </row>
    <row r="19" spans="1:11" x14ac:dyDescent="0.25">
      <c r="A19" s="1">
        <f t="shared" si="4"/>
        <v>16</v>
      </c>
      <c r="B19" s="1">
        <f t="shared" ca="1" si="0"/>
        <v>5</v>
      </c>
      <c r="C19" s="1">
        <f t="shared" ca="1" si="1"/>
        <v>2</v>
      </c>
      <c r="D19" s="1">
        <f t="shared" ca="1" si="2"/>
        <v>68</v>
      </c>
      <c r="E19" s="5">
        <f ca="1">VLOOKUP(C19,Hoja3!$A$2:$C$5,3,FALSE)</f>
        <v>0.02</v>
      </c>
      <c r="G19" s="7">
        <f t="shared" ca="1" si="3"/>
        <v>2</v>
      </c>
      <c r="H19" s="7"/>
      <c r="I19" s="7"/>
      <c r="J19" s="7"/>
      <c r="K19" s="7"/>
    </row>
    <row r="20" spans="1:11" x14ac:dyDescent="0.25">
      <c r="A20" s="1">
        <f t="shared" si="4"/>
        <v>17</v>
      </c>
      <c r="B20" s="1">
        <f t="shared" ca="1" si="0"/>
        <v>5</v>
      </c>
      <c r="C20" s="1">
        <f t="shared" ca="1" si="1"/>
        <v>2</v>
      </c>
      <c r="D20" s="1">
        <f t="shared" ca="1" si="2"/>
        <v>205</v>
      </c>
      <c r="E20" s="5">
        <f ca="1">VLOOKUP(C20,Hoja3!$A$2:$C$5,3,FALSE)</f>
        <v>0.02</v>
      </c>
      <c r="G20" s="7">
        <f t="shared" ca="1" si="3"/>
        <v>2</v>
      </c>
      <c r="H20" s="7"/>
      <c r="I20" s="7"/>
      <c r="J20" s="7"/>
      <c r="K20" s="7"/>
    </row>
    <row r="21" spans="1:11" x14ac:dyDescent="0.25">
      <c r="A21" s="1">
        <f t="shared" si="4"/>
        <v>18</v>
      </c>
      <c r="B21" s="1">
        <f t="shared" ca="1" si="0"/>
        <v>3</v>
      </c>
      <c r="C21" s="1">
        <f t="shared" ca="1" si="1"/>
        <v>1</v>
      </c>
      <c r="D21" s="1">
        <f t="shared" ca="1" si="2"/>
        <v>89</v>
      </c>
      <c r="E21" s="5">
        <f ca="1">VLOOKUP(C21,Hoja3!$A$2:$C$5,3,FALSE)</f>
        <v>0.05</v>
      </c>
      <c r="G21" s="7">
        <f t="shared" ca="1" si="3"/>
        <v>5</v>
      </c>
      <c r="H21" s="7"/>
      <c r="I21" s="7"/>
      <c r="J21" s="7"/>
      <c r="K21" s="7"/>
    </row>
    <row r="22" spans="1:11" x14ac:dyDescent="0.25">
      <c r="A22" s="1">
        <f t="shared" si="4"/>
        <v>19</v>
      </c>
      <c r="B22" s="1">
        <f t="shared" ca="1" si="0"/>
        <v>4</v>
      </c>
      <c r="C22" s="1">
        <f t="shared" ca="1" si="1"/>
        <v>1</v>
      </c>
      <c r="D22" s="1">
        <f t="shared" ca="1" si="2"/>
        <v>120</v>
      </c>
      <c r="E22" s="5">
        <f ca="1">VLOOKUP(C22,Hoja3!$A$2:$C$5,3,FALSE)</f>
        <v>0.05</v>
      </c>
      <c r="G22" s="7">
        <f t="shared" ca="1" si="3"/>
        <v>5</v>
      </c>
      <c r="H22" s="7"/>
      <c r="I22" s="7"/>
      <c r="J22" s="7"/>
      <c r="K22" s="7"/>
    </row>
    <row r="23" spans="1:11" x14ac:dyDescent="0.25">
      <c r="A23" s="1">
        <f t="shared" si="4"/>
        <v>20</v>
      </c>
      <c r="B23" s="1">
        <f t="shared" ca="1" si="0"/>
        <v>4</v>
      </c>
      <c r="C23" s="1">
        <f t="shared" ca="1" si="1"/>
        <v>2</v>
      </c>
      <c r="D23" s="1">
        <f t="shared" ca="1" si="2"/>
        <v>317</v>
      </c>
      <c r="E23" s="5">
        <f ca="1">VLOOKUP(C23,Hoja3!$A$2:$C$5,3,FALSE)</f>
        <v>0.02</v>
      </c>
      <c r="G23" s="7">
        <f t="shared" ca="1" si="3"/>
        <v>2</v>
      </c>
      <c r="H23" s="7"/>
      <c r="I23" s="7"/>
      <c r="J23" s="7"/>
      <c r="K23" s="7"/>
    </row>
    <row r="24" spans="1:11" x14ac:dyDescent="0.25">
      <c r="A24" s="1">
        <f t="shared" si="4"/>
        <v>21</v>
      </c>
      <c r="B24" s="1">
        <f t="shared" ca="1" si="0"/>
        <v>3</v>
      </c>
      <c r="C24" s="1">
        <f t="shared" ca="1" si="1"/>
        <v>2</v>
      </c>
      <c r="D24" s="1">
        <f t="shared" ca="1" si="2"/>
        <v>283</v>
      </c>
      <c r="E24" s="5">
        <f ca="1">VLOOKUP(C24,Hoja3!$A$2:$C$5,3,FALSE)</f>
        <v>0.02</v>
      </c>
      <c r="G24" s="7">
        <f t="shared" ca="1" si="3"/>
        <v>2</v>
      </c>
      <c r="H24" s="7"/>
      <c r="I24" s="7"/>
      <c r="J24" s="7"/>
      <c r="K24" s="7"/>
    </row>
    <row r="25" spans="1:11" x14ac:dyDescent="0.25">
      <c r="A25" s="1">
        <f t="shared" si="4"/>
        <v>22</v>
      </c>
      <c r="B25" s="1">
        <f t="shared" ca="1" si="0"/>
        <v>1</v>
      </c>
      <c r="C25" s="1">
        <f t="shared" ca="1" si="1"/>
        <v>1</v>
      </c>
      <c r="D25" s="1">
        <f t="shared" ca="1" si="2"/>
        <v>287</v>
      </c>
      <c r="E25" s="5">
        <f ca="1">VLOOKUP(C25,Hoja3!$A$2:$C$5,3,FALSE)</f>
        <v>0.05</v>
      </c>
      <c r="G25" s="7">
        <f t="shared" ca="1" si="3"/>
        <v>5</v>
      </c>
      <c r="H25" s="7"/>
      <c r="I25" s="7"/>
      <c r="J25" s="7"/>
      <c r="K25" s="7"/>
    </row>
    <row r="26" spans="1:11" x14ac:dyDescent="0.25">
      <c r="A26" s="1">
        <f t="shared" si="4"/>
        <v>23</v>
      </c>
      <c r="B26" s="1">
        <f t="shared" ca="1" si="0"/>
        <v>2</v>
      </c>
      <c r="C26" s="1">
        <f t="shared" ca="1" si="1"/>
        <v>2</v>
      </c>
      <c r="D26" s="1">
        <f t="shared" ca="1" si="2"/>
        <v>75</v>
      </c>
      <c r="E26" s="5">
        <f ca="1">VLOOKUP(C26,Hoja3!$A$2:$C$5,3,FALSE)</f>
        <v>0.02</v>
      </c>
      <c r="G26" s="7">
        <f t="shared" ca="1" si="3"/>
        <v>2</v>
      </c>
      <c r="H26" s="7"/>
      <c r="I26" s="7"/>
      <c r="J26" s="7"/>
      <c r="K26" s="7"/>
    </row>
    <row r="27" spans="1:11" x14ac:dyDescent="0.25">
      <c r="A27" s="1">
        <f t="shared" si="4"/>
        <v>24</v>
      </c>
      <c r="B27" s="1">
        <f t="shared" ca="1" si="0"/>
        <v>2</v>
      </c>
      <c r="C27" s="1">
        <f t="shared" ca="1" si="1"/>
        <v>1</v>
      </c>
      <c r="D27" s="1">
        <f t="shared" ca="1" si="2"/>
        <v>58</v>
      </c>
      <c r="E27" s="5">
        <f ca="1">VLOOKUP(C27,Hoja3!$A$2:$C$5,3,FALSE)</f>
        <v>0.05</v>
      </c>
      <c r="G27" s="7">
        <f t="shared" ca="1" si="3"/>
        <v>5</v>
      </c>
      <c r="H27" s="7"/>
      <c r="I27" s="7"/>
      <c r="J27" s="7"/>
      <c r="K27" s="7"/>
    </row>
    <row r="28" spans="1:11" x14ac:dyDescent="0.25">
      <c r="A28" s="1">
        <f t="shared" si="4"/>
        <v>25</v>
      </c>
      <c r="B28" s="1">
        <f t="shared" ca="1" si="0"/>
        <v>4</v>
      </c>
      <c r="C28" s="1">
        <f t="shared" ca="1" si="1"/>
        <v>1</v>
      </c>
      <c r="D28" s="1">
        <f t="shared" ca="1" si="2"/>
        <v>89</v>
      </c>
      <c r="E28" s="5">
        <f ca="1">VLOOKUP(C28,Hoja3!$A$2:$C$5,3,FALSE)</f>
        <v>0.05</v>
      </c>
      <c r="G28" s="7">
        <f t="shared" ca="1" si="3"/>
        <v>5</v>
      </c>
      <c r="H28" s="7"/>
      <c r="I28" s="7"/>
      <c r="J28" s="7"/>
      <c r="K28" s="7"/>
    </row>
    <row r="29" spans="1:11" x14ac:dyDescent="0.25">
      <c r="A29" s="1">
        <f t="shared" si="4"/>
        <v>26</v>
      </c>
      <c r="B29" s="1">
        <f t="shared" ca="1" si="0"/>
        <v>2</v>
      </c>
      <c r="C29" s="1">
        <f t="shared" ca="1" si="1"/>
        <v>2</v>
      </c>
      <c r="D29" s="1">
        <f t="shared" ca="1" si="2"/>
        <v>136</v>
      </c>
      <c r="E29" s="5">
        <f ca="1">VLOOKUP(C29,Hoja3!$A$2:$C$5,3,FALSE)</f>
        <v>0.02</v>
      </c>
      <c r="G29" s="7">
        <f t="shared" ca="1" si="3"/>
        <v>2</v>
      </c>
      <c r="H29" s="7"/>
      <c r="I29" s="7"/>
      <c r="J29" s="7"/>
      <c r="K29" s="7"/>
    </row>
    <row r="30" spans="1:11" x14ac:dyDescent="0.25">
      <c r="A30" s="1">
        <f t="shared" si="4"/>
        <v>27</v>
      </c>
      <c r="B30" s="1">
        <f t="shared" ca="1" si="0"/>
        <v>4</v>
      </c>
      <c r="C30" s="1">
        <f t="shared" ca="1" si="1"/>
        <v>2</v>
      </c>
      <c r="D30" s="1">
        <f t="shared" ca="1" si="2"/>
        <v>279</v>
      </c>
      <c r="E30" s="5">
        <f ca="1">VLOOKUP(C30,Hoja3!$A$2:$C$5,3,FALSE)</f>
        <v>0.02</v>
      </c>
      <c r="G30" s="7">
        <f t="shared" ca="1" si="3"/>
        <v>2</v>
      </c>
      <c r="H30" s="7"/>
      <c r="I30" s="7"/>
      <c r="J30" s="7"/>
      <c r="K30" s="7"/>
    </row>
    <row r="31" spans="1:11" x14ac:dyDescent="0.25">
      <c r="A31" s="1">
        <f t="shared" si="4"/>
        <v>28</v>
      </c>
      <c r="B31" s="1">
        <f t="shared" ca="1" si="0"/>
        <v>2</v>
      </c>
      <c r="C31" s="1">
        <f t="shared" ca="1" si="1"/>
        <v>2</v>
      </c>
      <c r="D31" s="1">
        <f t="shared" ca="1" si="2"/>
        <v>103</v>
      </c>
      <c r="E31" s="5">
        <f ca="1">VLOOKUP(C31,Hoja3!$A$2:$C$5,3,FALSE)</f>
        <v>0.02</v>
      </c>
      <c r="G31" s="7">
        <f t="shared" ca="1" si="3"/>
        <v>2</v>
      </c>
      <c r="H31" s="7"/>
      <c r="I31" s="7"/>
      <c r="J31" s="7"/>
      <c r="K31" s="7"/>
    </row>
    <row r="32" spans="1:11" x14ac:dyDescent="0.25">
      <c r="A32" s="1">
        <f t="shared" si="4"/>
        <v>29</v>
      </c>
      <c r="B32" s="1">
        <f t="shared" ca="1" si="0"/>
        <v>1</v>
      </c>
      <c r="C32" s="1">
        <f t="shared" ca="1" si="1"/>
        <v>2</v>
      </c>
      <c r="D32" s="1">
        <f t="shared" ca="1" si="2"/>
        <v>118</v>
      </c>
      <c r="E32" s="5">
        <f ca="1">VLOOKUP(C32,Hoja3!$A$2:$C$5,3,FALSE)</f>
        <v>0.02</v>
      </c>
      <c r="G32" s="7">
        <f t="shared" ca="1" si="3"/>
        <v>2</v>
      </c>
      <c r="H32" s="7"/>
      <c r="I32" s="7"/>
      <c r="J32" s="7"/>
      <c r="K32" s="7"/>
    </row>
    <row r="33" spans="1:11" x14ac:dyDescent="0.25">
      <c r="A33" s="1">
        <f t="shared" si="4"/>
        <v>30</v>
      </c>
      <c r="B33" s="1">
        <f t="shared" ca="1" si="0"/>
        <v>4</v>
      </c>
      <c r="C33" s="1">
        <f t="shared" ca="1" si="1"/>
        <v>2</v>
      </c>
      <c r="D33" s="1">
        <f t="shared" ca="1" si="2"/>
        <v>239</v>
      </c>
      <c r="E33" s="5">
        <f ca="1">VLOOKUP(C33,Hoja3!$A$2:$C$5,3,FALSE)</f>
        <v>0.02</v>
      </c>
      <c r="G33" s="7">
        <f t="shared" ca="1" si="3"/>
        <v>2</v>
      </c>
      <c r="H33" s="7"/>
      <c r="I33" s="7"/>
      <c r="J33" s="7"/>
      <c r="K33" s="7"/>
    </row>
    <row r="34" spans="1:11" x14ac:dyDescent="0.25">
      <c r="A34" s="1">
        <f t="shared" si="4"/>
        <v>31</v>
      </c>
      <c r="B34" s="1">
        <f t="shared" ca="1" si="0"/>
        <v>3</v>
      </c>
      <c r="C34" s="1">
        <f t="shared" ca="1" si="1"/>
        <v>1</v>
      </c>
      <c r="D34" s="1">
        <f t="shared" ca="1" si="2"/>
        <v>132</v>
      </c>
      <c r="E34" s="5">
        <f ca="1">VLOOKUP(C34,Hoja3!$A$2:$C$5,3,FALSE)</f>
        <v>0.05</v>
      </c>
      <c r="G34" s="7">
        <f t="shared" ca="1" si="3"/>
        <v>5</v>
      </c>
      <c r="H34" s="7"/>
      <c r="I34" s="7"/>
      <c r="J34" s="7"/>
      <c r="K34" s="7"/>
    </row>
    <row r="35" spans="1:11" x14ac:dyDescent="0.25">
      <c r="A35" s="1">
        <f t="shared" si="4"/>
        <v>32</v>
      </c>
      <c r="B35" s="1">
        <f t="shared" ca="1" si="0"/>
        <v>2</v>
      </c>
      <c r="C35" s="1">
        <f t="shared" ca="1" si="1"/>
        <v>1</v>
      </c>
      <c r="D35" s="1">
        <f t="shared" ca="1" si="2"/>
        <v>243</v>
      </c>
      <c r="E35" s="5">
        <f ca="1">VLOOKUP(C35,Hoja3!$A$2:$C$5,3,FALSE)</f>
        <v>0.05</v>
      </c>
      <c r="G35" s="7">
        <f t="shared" ca="1" si="3"/>
        <v>5</v>
      </c>
      <c r="H35" s="7"/>
      <c r="I35" s="7"/>
      <c r="J35" s="7"/>
      <c r="K35" s="7"/>
    </row>
    <row r="36" spans="1:11" x14ac:dyDescent="0.25">
      <c r="A36" s="1">
        <f>A35+1</f>
        <v>33</v>
      </c>
      <c r="B36" s="1">
        <f t="shared" ca="1" si="0"/>
        <v>2</v>
      </c>
      <c r="C36" s="1">
        <f t="shared" ca="1" si="1"/>
        <v>2</v>
      </c>
      <c r="D36" s="1">
        <f t="shared" ca="1" si="2"/>
        <v>207</v>
      </c>
      <c r="E36" s="5">
        <f ca="1">VLOOKUP(C36,Hoja3!$A$2:$C$5,3,FALSE)</f>
        <v>0.02</v>
      </c>
      <c r="G36" s="7">
        <f t="shared" ca="1" si="3"/>
        <v>2</v>
      </c>
      <c r="H36" s="7"/>
      <c r="I36" s="7"/>
      <c r="J36" s="7"/>
      <c r="K36" s="7"/>
    </row>
    <row r="37" spans="1:11" x14ac:dyDescent="0.25">
      <c r="A37" s="1">
        <f t="shared" si="4"/>
        <v>34</v>
      </c>
      <c r="B37" s="1">
        <f t="shared" ca="1" si="0"/>
        <v>3</v>
      </c>
      <c r="C37" s="1">
        <f t="shared" ca="1" si="1"/>
        <v>2</v>
      </c>
      <c r="D37" s="1">
        <f t="shared" ca="1" si="2"/>
        <v>299</v>
      </c>
      <c r="E37" s="5">
        <f ca="1">VLOOKUP(C37,Hoja3!$A$2:$C$5,3,FALSE)</f>
        <v>0.02</v>
      </c>
      <c r="G37" s="7">
        <f t="shared" ca="1" si="3"/>
        <v>2</v>
      </c>
      <c r="H37" s="7"/>
      <c r="I37" s="7"/>
      <c r="J37" s="7"/>
      <c r="K37" s="7"/>
    </row>
    <row r="38" spans="1:11" x14ac:dyDescent="0.25">
      <c r="A38" s="1">
        <f t="shared" si="4"/>
        <v>35</v>
      </c>
      <c r="B38" s="1">
        <f t="shared" ca="1" si="0"/>
        <v>5</v>
      </c>
      <c r="C38" s="1">
        <f t="shared" ca="1" si="1"/>
        <v>2</v>
      </c>
      <c r="D38" s="1">
        <f t="shared" ca="1" si="2"/>
        <v>106</v>
      </c>
      <c r="E38" s="5">
        <f ca="1">VLOOKUP(C38,Hoja3!$A$2:$C$5,3,FALSE)</f>
        <v>0.02</v>
      </c>
      <c r="G38" s="7">
        <f t="shared" ca="1" si="3"/>
        <v>2</v>
      </c>
      <c r="H38" s="7"/>
      <c r="I38" s="7"/>
      <c r="J38" s="7"/>
      <c r="K38" s="7"/>
    </row>
    <row r="39" spans="1:11" x14ac:dyDescent="0.25">
      <c r="A39" s="1">
        <f t="shared" si="4"/>
        <v>36</v>
      </c>
      <c r="B39" s="1">
        <f t="shared" ca="1" si="0"/>
        <v>4</v>
      </c>
      <c r="C39" s="1">
        <f t="shared" ca="1" si="1"/>
        <v>1</v>
      </c>
      <c r="D39" s="1">
        <f t="shared" ca="1" si="2"/>
        <v>70</v>
      </c>
      <c r="E39" s="5">
        <f ca="1">VLOOKUP(C39,Hoja3!$A$2:$C$5,3,FALSE)</f>
        <v>0.05</v>
      </c>
      <c r="G39" s="7">
        <f t="shared" ca="1" si="3"/>
        <v>5</v>
      </c>
      <c r="H39" s="7"/>
      <c r="I39" s="7"/>
      <c r="J39" s="7"/>
      <c r="K39" s="7"/>
    </row>
    <row r="40" spans="1:11" x14ac:dyDescent="0.25">
      <c r="A40" s="1">
        <f t="shared" si="4"/>
        <v>37</v>
      </c>
      <c r="B40" s="1">
        <f t="shared" ca="1" si="0"/>
        <v>2</v>
      </c>
      <c r="C40" s="1">
        <f t="shared" ca="1" si="1"/>
        <v>1</v>
      </c>
      <c r="D40" s="1">
        <f t="shared" ca="1" si="2"/>
        <v>293</v>
      </c>
      <c r="E40" s="5">
        <f ca="1">VLOOKUP(C40,Hoja3!$A$2:$C$5,3,FALSE)</f>
        <v>0.05</v>
      </c>
      <c r="G40" s="7">
        <f t="shared" ca="1" si="3"/>
        <v>5</v>
      </c>
      <c r="H40" s="7"/>
      <c r="I40" s="7"/>
      <c r="J40" s="7"/>
      <c r="K40" s="7"/>
    </row>
    <row r="41" spans="1:11" x14ac:dyDescent="0.25">
      <c r="A41" s="1">
        <f t="shared" si="4"/>
        <v>38</v>
      </c>
      <c r="B41" s="1">
        <f t="shared" ca="1" si="0"/>
        <v>1</v>
      </c>
      <c r="C41" s="1">
        <f t="shared" ca="1" si="1"/>
        <v>2</v>
      </c>
      <c r="D41" s="1">
        <f t="shared" ca="1" si="2"/>
        <v>73</v>
      </c>
      <c r="E41" s="5">
        <f ca="1">VLOOKUP(C41,Hoja3!$A$2:$C$5,3,FALSE)</f>
        <v>0.02</v>
      </c>
      <c r="G41" s="7">
        <f t="shared" ca="1" si="3"/>
        <v>2</v>
      </c>
      <c r="H41" s="7"/>
      <c r="I41" s="7"/>
      <c r="J41" s="7"/>
      <c r="K41" s="7"/>
    </row>
    <row r="42" spans="1:11" x14ac:dyDescent="0.25">
      <c r="A42" s="1">
        <f t="shared" si="4"/>
        <v>39</v>
      </c>
      <c r="B42" s="1">
        <f t="shared" ca="1" si="0"/>
        <v>2</v>
      </c>
      <c r="C42" s="1">
        <f t="shared" ca="1" si="1"/>
        <v>1</v>
      </c>
      <c r="D42" s="1">
        <f t="shared" ca="1" si="2"/>
        <v>262</v>
      </c>
      <c r="E42" s="5">
        <f ca="1">VLOOKUP(C42,Hoja3!$A$2:$C$5,3,FALSE)</f>
        <v>0.05</v>
      </c>
      <c r="G42" s="7">
        <f t="shared" ca="1" si="3"/>
        <v>5</v>
      </c>
      <c r="H42" s="7"/>
      <c r="I42" s="7"/>
      <c r="J42" s="7"/>
      <c r="K42" s="7"/>
    </row>
    <row r="43" spans="1:11" x14ac:dyDescent="0.25">
      <c r="A43" s="1">
        <f t="shared" si="4"/>
        <v>40</v>
      </c>
      <c r="B43" s="1">
        <f t="shared" ca="1" si="0"/>
        <v>2</v>
      </c>
      <c r="C43" s="1">
        <f t="shared" ca="1" si="1"/>
        <v>2</v>
      </c>
      <c r="D43" s="1">
        <f t="shared" ca="1" si="2"/>
        <v>122</v>
      </c>
      <c r="E43" s="5">
        <f ca="1">VLOOKUP(C43,Hoja3!$A$2:$C$5,3,FALSE)</f>
        <v>0.02</v>
      </c>
      <c r="G43" s="7">
        <f t="shared" ca="1" si="3"/>
        <v>2</v>
      </c>
      <c r="H43" s="7"/>
      <c r="I43" s="7"/>
      <c r="J43" s="7"/>
      <c r="K43" s="7"/>
    </row>
    <row r="44" spans="1:11" x14ac:dyDescent="0.25">
      <c r="A44" s="1">
        <f t="shared" si="4"/>
        <v>41</v>
      </c>
      <c r="B44" s="1">
        <f t="shared" ca="1" si="0"/>
        <v>1</v>
      </c>
      <c r="C44" s="1">
        <f t="shared" ca="1" si="1"/>
        <v>2</v>
      </c>
      <c r="D44" s="1">
        <f t="shared" ca="1" si="2"/>
        <v>94</v>
      </c>
      <c r="E44" s="5">
        <f ca="1">VLOOKUP(C44,Hoja3!$A$2:$C$5,3,FALSE)</f>
        <v>0.02</v>
      </c>
      <c r="G44" s="7">
        <f t="shared" ca="1" si="3"/>
        <v>2</v>
      </c>
      <c r="H44" s="7"/>
      <c r="I44" s="7"/>
      <c r="J44" s="7"/>
      <c r="K44" s="7"/>
    </row>
    <row r="45" spans="1:11" x14ac:dyDescent="0.25">
      <c r="A45" s="1">
        <f t="shared" si="4"/>
        <v>42</v>
      </c>
      <c r="B45" s="1">
        <f t="shared" ca="1" si="0"/>
        <v>2</v>
      </c>
      <c r="C45" s="1">
        <f t="shared" ca="1" si="1"/>
        <v>2</v>
      </c>
      <c r="D45" s="1">
        <f t="shared" ca="1" si="2"/>
        <v>95</v>
      </c>
      <c r="E45" s="5">
        <f ca="1">VLOOKUP(C45,Hoja3!$A$2:$C$5,3,FALSE)</f>
        <v>0.02</v>
      </c>
      <c r="G45" s="7">
        <f t="shared" ca="1" si="3"/>
        <v>2</v>
      </c>
      <c r="H45" s="7"/>
      <c r="I45" s="7"/>
      <c r="J45" s="7"/>
      <c r="K45" s="7"/>
    </row>
    <row r="46" spans="1:11" x14ac:dyDescent="0.25">
      <c r="A46" s="1">
        <f t="shared" si="4"/>
        <v>43</v>
      </c>
      <c r="B46" s="1">
        <f t="shared" ca="1" si="0"/>
        <v>3</v>
      </c>
      <c r="C46" s="1">
        <f t="shared" ca="1" si="1"/>
        <v>1</v>
      </c>
      <c r="D46" s="1">
        <f t="shared" ca="1" si="2"/>
        <v>126</v>
      </c>
      <c r="E46" s="5">
        <f ca="1">VLOOKUP(C46,Hoja3!$A$2:$C$5,3,FALSE)</f>
        <v>0.05</v>
      </c>
      <c r="G46" s="7">
        <f t="shared" ca="1" si="3"/>
        <v>5</v>
      </c>
      <c r="H46" s="7"/>
      <c r="I46" s="7"/>
      <c r="J46" s="7"/>
      <c r="K46" s="7"/>
    </row>
    <row r="47" spans="1:11" x14ac:dyDescent="0.25">
      <c r="A47" s="1">
        <f t="shared" si="4"/>
        <v>44</v>
      </c>
      <c r="B47" s="1">
        <f t="shared" ca="1" si="0"/>
        <v>4</v>
      </c>
      <c r="C47" s="1">
        <f t="shared" ca="1" si="1"/>
        <v>2</v>
      </c>
      <c r="D47" s="1">
        <f t="shared" ca="1" si="2"/>
        <v>311</v>
      </c>
      <c r="E47" s="5">
        <f ca="1">VLOOKUP(C47,Hoja3!$A$2:$C$5,3,FALSE)</f>
        <v>0.02</v>
      </c>
      <c r="G47" s="7">
        <f t="shared" ca="1" si="3"/>
        <v>2</v>
      </c>
      <c r="H47" s="7"/>
      <c r="I47" s="7"/>
      <c r="J47" s="7"/>
      <c r="K47" s="7"/>
    </row>
    <row r="48" spans="1:11" x14ac:dyDescent="0.25">
      <c r="A48" s="1">
        <f t="shared" si="4"/>
        <v>45</v>
      </c>
      <c r="B48" s="1">
        <f t="shared" ca="1" si="0"/>
        <v>1</v>
      </c>
      <c r="C48" s="1">
        <f t="shared" ca="1" si="1"/>
        <v>1</v>
      </c>
      <c r="D48" s="1">
        <f t="shared" ca="1" si="2"/>
        <v>160</v>
      </c>
      <c r="E48" s="5">
        <f ca="1">VLOOKUP(C48,Hoja3!$A$2:$C$5,3,FALSE)</f>
        <v>0.05</v>
      </c>
      <c r="G48" s="7">
        <f t="shared" ca="1" si="3"/>
        <v>5</v>
      </c>
      <c r="H48" s="7"/>
      <c r="I48" s="7"/>
      <c r="J48" s="7"/>
      <c r="K48" s="7"/>
    </row>
    <row r="49" spans="1:11" x14ac:dyDescent="0.25">
      <c r="A49" s="1">
        <f t="shared" si="4"/>
        <v>46</v>
      </c>
      <c r="B49" s="1">
        <f t="shared" ca="1" si="0"/>
        <v>5</v>
      </c>
      <c r="C49" s="1">
        <f t="shared" ca="1" si="1"/>
        <v>2</v>
      </c>
      <c r="D49" s="1">
        <f t="shared" ca="1" si="2"/>
        <v>74</v>
      </c>
      <c r="E49" s="5">
        <f ca="1">VLOOKUP(C49,Hoja3!$A$2:$C$5,3,FALSE)</f>
        <v>0.02</v>
      </c>
      <c r="G49" s="7">
        <f t="shared" ca="1" si="3"/>
        <v>2</v>
      </c>
      <c r="H49" s="7"/>
      <c r="I49" s="7"/>
      <c r="J49" s="7"/>
      <c r="K49" s="7"/>
    </row>
    <row r="50" spans="1:11" x14ac:dyDescent="0.25">
      <c r="A50" s="1">
        <f t="shared" si="4"/>
        <v>47</v>
      </c>
      <c r="B50" s="1">
        <f t="shared" ca="1" si="0"/>
        <v>3</v>
      </c>
      <c r="C50" s="1">
        <f t="shared" ca="1" si="1"/>
        <v>1</v>
      </c>
      <c r="D50" s="1">
        <f t="shared" ca="1" si="2"/>
        <v>122</v>
      </c>
      <c r="E50" s="5">
        <f ca="1">VLOOKUP(C50,Hoja3!$A$2:$C$5,3,FALSE)</f>
        <v>0.05</v>
      </c>
      <c r="G50" s="7">
        <f t="shared" ca="1" si="3"/>
        <v>5</v>
      </c>
      <c r="H50" s="7"/>
      <c r="I50" s="7"/>
      <c r="J50" s="7"/>
      <c r="K50" s="7"/>
    </row>
    <row r="51" spans="1:11" x14ac:dyDescent="0.25">
      <c r="A51" s="1">
        <f t="shared" si="4"/>
        <v>48</v>
      </c>
      <c r="B51" s="1">
        <f t="shared" ca="1" si="0"/>
        <v>2</v>
      </c>
      <c r="C51" s="1">
        <f t="shared" ca="1" si="1"/>
        <v>2</v>
      </c>
      <c r="D51" s="1">
        <f t="shared" ca="1" si="2"/>
        <v>291</v>
      </c>
      <c r="E51" s="5">
        <f ca="1">VLOOKUP(C51,Hoja3!$A$2:$C$5,3,FALSE)</f>
        <v>0.02</v>
      </c>
      <c r="G51" s="7">
        <f t="shared" ca="1" si="3"/>
        <v>2</v>
      </c>
      <c r="H51" s="7"/>
      <c r="I51" s="7"/>
      <c r="J51" s="7"/>
      <c r="K51" s="7"/>
    </row>
    <row r="52" spans="1:11" x14ac:dyDescent="0.25">
      <c r="A52" s="1">
        <f>A51+1</f>
        <v>49</v>
      </c>
      <c r="B52" s="1">
        <f t="shared" ca="1" si="0"/>
        <v>5</v>
      </c>
      <c r="C52" s="1">
        <f t="shared" ca="1" si="1"/>
        <v>1</v>
      </c>
      <c r="D52" s="1">
        <f t="shared" ca="1" si="2"/>
        <v>213</v>
      </c>
      <c r="E52" s="5">
        <f ca="1">VLOOKUP(C52,Hoja3!$A$2:$C$5,3,FALSE)</f>
        <v>0.05</v>
      </c>
      <c r="G52" s="7">
        <f t="shared" ca="1" si="3"/>
        <v>5</v>
      </c>
      <c r="H52" s="7"/>
      <c r="I52" s="7"/>
      <c r="J52" s="7"/>
      <c r="K52" s="7"/>
    </row>
    <row r="53" spans="1:11" x14ac:dyDescent="0.25">
      <c r="A53" s="1">
        <f t="shared" si="4"/>
        <v>50</v>
      </c>
      <c r="B53" s="1">
        <f t="shared" ca="1" si="0"/>
        <v>2</v>
      </c>
      <c r="C53" s="1">
        <f t="shared" ca="1" si="1"/>
        <v>1</v>
      </c>
      <c r="D53" s="1">
        <f t="shared" ca="1" si="2"/>
        <v>173</v>
      </c>
      <c r="E53" s="5">
        <f ca="1">VLOOKUP(C53,Hoja3!$A$2:$C$5,3,FALSE)</f>
        <v>0.05</v>
      </c>
      <c r="G53" s="7">
        <f t="shared" ca="1" si="3"/>
        <v>5</v>
      </c>
      <c r="H53" s="7"/>
      <c r="I53" s="7"/>
      <c r="J53" s="7"/>
      <c r="K53" s="7"/>
    </row>
  </sheetData>
  <mergeCells count="2">
    <mergeCell ref="A1:E2"/>
    <mergeCell ref="G1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>
      <selection activeCell="C3" sqref="C3"/>
    </sheetView>
  </sheetViews>
  <sheetFormatPr baseColWidth="10" defaultRowHeight="15" x14ac:dyDescent="0.25"/>
  <cols>
    <col min="1" max="1" width="15.42578125" customWidth="1"/>
    <col min="2" max="2" width="13.7109375" customWidth="1"/>
    <col min="3" max="3" width="18.85546875" customWidth="1"/>
  </cols>
  <sheetData>
    <row r="1" spans="1:3" x14ac:dyDescent="0.25">
      <c r="A1" s="4" t="s">
        <v>9</v>
      </c>
      <c r="B1" s="4"/>
      <c r="C1" s="4"/>
    </row>
    <row r="2" spans="1:3" x14ac:dyDescent="0.25">
      <c r="A2" s="2" t="s">
        <v>3</v>
      </c>
      <c r="B2" s="2" t="s">
        <v>7</v>
      </c>
      <c r="C2" s="2" t="s">
        <v>8</v>
      </c>
    </row>
    <row r="3" spans="1:3" x14ac:dyDescent="0.25">
      <c r="A3" s="1">
        <v>1</v>
      </c>
      <c r="B3" s="1">
        <v>420</v>
      </c>
      <c r="C3" s="1">
        <v>7</v>
      </c>
    </row>
    <row r="4" spans="1:3" x14ac:dyDescent="0.25">
      <c r="A4" s="1">
        <v>2</v>
      </c>
      <c r="B4" s="1">
        <v>370</v>
      </c>
      <c r="C4" s="1">
        <v>10</v>
      </c>
    </row>
    <row r="5" spans="1:3" x14ac:dyDescent="0.25">
      <c r="A5" s="1">
        <v>3</v>
      </c>
      <c r="B5" s="1">
        <v>600</v>
      </c>
      <c r="C5" s="1">
        <v>2</v>
      </c>
    </row>
    <row r="6" spans="1:3" x14ac:dyDescent="0.25">
      <c r="A6" s="1">
        <v>4</v>
      </c>
      <c r="B6" s="1">
        <v>400</v>
      </c>
      <c r="C6" s="1">
        <v>5</v>
      </c>
    </row>
    <row r="7" spans="1:3" x14ac:dyDescent="0.25">
      <c r="A7" s="1">
        <v>5</v>
      </c>
      <c r="B7" s="1">
        <v>380</v>
      </c>
      <c r="C7" s="1">
        <v>8</v>
      </c>
    </row>
  </sheetData>
  <mergeCells count="1">
    <mergeCell ref="A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"/>
  <sheetViews>
    <sheetView workbookViewId="0">
      <selection activeCell="E18" sqref="E18"/>
    </sheetView>
  </sheetViews>
  <sheetFormatPr baseColWidth="10" defaultRowHeight="15" x14ac:dyDescent="0.25"/>
  <cols>
    <col min="2" max="2" width="13.5703125" customWidth="1"/>
  </cols>
  <sheetData>
    <row r="1" spans="1:3" x14ac:dyDescent="0.25">
      <c r="A1" s="4" t="s">
        <v>15</v>
      </c>
      <c r="B1" s="4"/>
      <c r="C1" s="4"/>
    </row>
    <row r="2" spans="1:3" x14ac:dyDescent="0.25">
      <c r="A2" s="2" t="s">
        <v>12</v>
      </c>
      <c r="B2" s="2" t="s">
        <v>10</v>
      </c>
      <c r="C2" s="2" t="s">
        <v>11</v>
      </c>
    </row>
    <row r="3" spans="1:3" x14ac:dyDescent="0.25">
      <c r="A3" s="1">
        <v>1</v>
      </c>
      <c r="B3" s="1" t="s">
        <v>13</v>
      </c>
      <c r="C3" s="5">
        <v>0.05</v>
      </c>
    </row>
    <row r="4" spans="1:3" x14ac:dyDescent="0.25">
      <c r="A4" s="1">
        <v>2</v>
      </c>
      <c r="B4" s="1" t="s">
        <v>14</v>
      </c>
      <c r="C4" s="5">
        <v>0.02</v>
      </c>
    </row>
    <row r="5" spans="1:3" x14ac:dyDescent="0.25">
      <c r="A5" s="1"/>
      <c r="B5" s="1"/>
      <c r="C5" s="1"/>
    </row>
  </sheetData>
  <mergeCells count="1">
    <mergeCell ref="A1:C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C19" sqref="C19"/>
    </sheetView>
  </sheetViews>
  <sheetFormatPr baseColWidth="10" defaultRowHeight="15" x14ac:dyDescent="0.25"/>
  <cols>
    <col min="1" max="1" width="31.42578125" customWidth="1"/>
    <col min="2" max="2" width="22.7109375" customWidth="1"/>
  </cols>
  <sheetData>
    <row r="1" spans="1:2" x14ac:dyDescent="0.25">
      <c r="A1" s="4" t="s">
        <v>22</v>
      </c>
      <c r="B1" s="4"/>
    </row>
    <row r="2" spans="1:2" x14ac:dyDescent="0.25">
      <c r="A2" s="2" t="s">
        <v>16</v>
      </c>
      <c r="B2" s="2" t="s">
        <v>17</v>
      </c>
    </row>
    <row r="3" spans="1:2" x14ac:dyDescent="0.25">
      <c r="A3" s="1" t="s">
        <v>18</v>
      </c>
      <c r="B3" s="5">
        <v>0</v>
      </c>
    </row>
    <row r="4" spans="1:2" x14ac:dyDescent="0.25">
      <c r="A4" s="1" t="s">
        <v>19</v>
      </c>
      <c r="B4" s="5">
        <v>0.03</v>
      </c>
    </row>
    <row r="5" spans="1:2" x14ac:dyDescent="0.25">
      <c r="A5" s="1" t="s">
        <v>20</v>
      </c>
      <c r="B5" s="5">
        <v>0.05</v>
      </c>
    </row>
    <row r="6" spans="1:2" x14ac:dyDescent="0.25">
      <c r="A6" s="1" t="s">
        <v>21</v>
      </c>
      <c r="B6" s="5">
        <v>7.0000000000000007E-2</v>
      </c>
    </row>
  </sheetData>
  <mergeCells count="1">
    <mergeCell ref="A1:B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workbookViewId="0">
      <selection activeCell="D20" sqref="D20"/>
    </sheetView>
  </sheetViews>
  <sheetFormatPr baseColWidth="10" defaultRowHeight="15" x14ac:dyDescent="0.25"/>
  <cols>
    <col min="1" max="1" width="15.5703125" customWidth="1"/>
    <col min="2" max="2" width="18.7109375" customWidth="1"/>
    <col min="3" max="3" width="19.140625" customWidth="1"/>
    <col min="4" max="4" width="14.28515625" customWidth="1"/>
    <col min="5" max="5" width="18" customWidth="1"/>
    <col min="6" max="6" width="19" customWidth="1"/>
    <col min="8" max="8" width="18.5703125" customWidth="1"/>
    <col min="11" max="11" width="11.85546875" bestFit="1" customWidth="1"/>
  </cols>
  <sheetData>
    <row r="1" spans="1:8" x14ac:dyDescent="0.25">
      <c r="A1" s="4" t="s">
        <v>29</v>
      </c>
      <c r="B1" s="4"/>
      <c r="C1" s="4"/>
      <c r="D1" s="4"/>
      <c r="E1" s="4"/>
      <c r="F1" s="4"/>
    </row>
    <row r="2" spans="1:8" x14ac:dyDescent="0.25">
      <c r="A2" s="2" t="s">
        <v>0</v>
      </c>
      <c r="B2" s="2" t="s">
        <v>23</v>
      </c>
      <c r="C2" s="2" t="s">
        <v>24</v>
      </c>
      <c r="D2" s="2" t="s">
        <v>25</v>
      </c>
      <c r="E2" s="2" t="s">
        <v>26</v>
      </c>
      <c r="F2" s="2" t="s">
        <v>27</v>
      </c>
      <c r="H2" s="6"/>
    </row>
    <row r="3" spans="1:8" x14ac:dyDescent="0.25">
      <c r="A3" s="1">
        <v>1</v>
      </c>
      <c r="B3" s="1">
        <v>5</v>
      </c>
      <c r="C3" s="1">
        <f ca="1">VLOOKUP(A3,Hoja1!$H$3:$I$8,2,FALSE)</f>
        <v>28</v>
      </c>
      <c r="D3" s="1">
        <f ca="1">Hoja2!B3+Hoja2!B3*Hoja5!C3+Hoja2!B3*Hoja5!B3</f>
        <v>14280</v>
      </c>
      <c r="E3" s="1">
        <f ca="1">COUNTIF(Hoja1!$B$4:$B$53,"=1")</f>
        <v>8</v>
      </c>
      <c r="F3" s="1">
        <f ca="1">VLOOKUP(A3,Hoja1!$H$3:$K$8,4,FALSE)</f>
        <v>1414</v>
      </c>
    </row>
    <row r="4" spans="1:8" x14ac:dyDescent="0.25">
      <c r="A4" s="1">
        <v>2</v>
      </c>
      <c r="B4" s="1">
        <v>7</v>
      </c>
      <c r="C4" s="1">
        <f ca="1">VLOOKUP(A4,Hoja1!$H$3:$I$8,2,FALSE)</f>
        <v>61</v>
      </c>
      <c r="D4" s="1">
        <f ca="1">Hoja2!B4+Hoja2!B4*Hoja5!C4+Hoja2!B4*Hoja5!B4</f>
        <v>25530</v>
      </c>
      <c r="E4" s="1">
        <f ca="1">COUNTIF(Hoja1!$B$4:$B$53,"=2")</f>
        <v>18</v>
      </c>
      <c r="F4" s="1">
        <f ca="1">VLOOKUP(A4,Hoja1!$H$3:$K$8,4,FALSE)</f>
        <v>3453</v>
      </c>
    </row>
    <row r="5" spans="1:8" x14ac:dyDescent="0.25">
      <c r="A5" s="1">
        <v>3</v>
      </c>
      <c r="B5" s="1">
        <v>3</v>
      </c>
      <c r="C5" s="1">
        <f ca="1">VLOOKUP(A5,Hoja1!$H$3:$I$8,2,FALSE)</f>
        <v>29</v>
      </c>
      <c r="D5" s="1">
        <f ca="1">Hoja2!B5+Hoja2!B5*Hoja5!C5+Hoja2!B5*Hoja5!B5</f>
        <v>19800</v>
      </c>
      <c r="E5" s="1">
        <f ca="1">COUNTIF(Hoja1!$B$4:$B$53,"=3")</f>
        <v>8</v>
      </c>
      <c r="F5" s="1">
        <f ca="1">VLOOKUP(A5,Hoja1!$H$3:$K$8,4,FALSE)</f>
        <v>1418</v>
      </c>
    </row>
    <row r="6" spans="1:8" x14ac:dyDescent="0.25">
      <c r="A6" s="1">
        <v>4</v>
      </c>
      <c r="B6" s="1">
        <v>5</v>
      </c>
      <c r="C6" s="1">
        <f ca="1">VLOOKUP(A6,Hoja1!$H$3:$I$8,2,FALSE)</f>
        <v>23</v>
      </c>
      <c r="D6" s="1">
        <f ca="1">Hoja2!B6+Hoja2!B6*Hoja5!C6+Hoja2!B6*Hoja5!B6</f>
        <v>11600</v>
      </c>
      <c r="E6" s="1">
        <f ca="1">COUNTIF(Hoja1!$B$4:$B$53,"=4")</f>
        <v>7</v>
      </c>
      <c r="F6" s="1">
        <f ca="1">VLOOKUP(A6,Hoja1!$H$3:$K$8,4,FALSE)</f>
        <v>1425</v>
      </c>
    </row>
    <row r="7" spans="1:8" x14ac:dyDescent="0.25">
      <c r="A7" s="1">
        <v>5</v>
      </c>
      <c r="B7" s="1">
        <v>7</v>
      </c>
      <c r="C7" s="1">
        <f ca="1">VLOOKUP(A7,Hoja1!$H$3:$I$8,2,FALSE)</f>
        <v>21</v>
      </c>
      <c r="D7" s="1">
        <f ca="1">Hoja2!B7+Hoja2!B7*Hoja5!C7+Hoja2!B7*Hoja5!B7</f>
        <v>11020</v>
      </c>
      <c r="E7" s="1">
        <f ca="1">COUNTIF(Hoja1!$B$4:$B$53,"=5")</f>
        <v>9</v>
      </c>
      <c r="F7" s="1">
        <f ca="1">VLOOKUP(A7,Hoja1!$H$3:$K$8,4,FALSE)</f>
        <v>1173</v>
      </c>
    </row>
    <row r="8" spans="1:8" x14ac:dyDescent="0.25">
      <c r="A8" s="2" t="s">
        <v>28</v>
      </c>
      <c r="B8" s="1">
        <f>SUM(B3:B7)</f>
        <v>27</v>
      </c>
      <c r="C8" s="1">
        <f t="shared" ref="C8:F8" ca="1" si="0">SUM(C3:C7)</f>
        <v>162</v>
      </c>
      <c r="D8" s="1">
        <f t="shared" ca="1" si="0"/>
        <v>82230</v>
      </c>
      <c r="E8" s="1">
        <f t="shared" ca="1" si="0"/>
        <v>50</v>
      </c>
      <c r="F8" s="1">
        <f t="shared" ca="1" si="0"/>
        <v>8883</v>
      </c>
    </row>
  </sheetData>
  <mergeCells count="1">
    <mergeCell ref="A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Hoja3</vt:lpstr>
      <vt:lpstr>Hoja4</vt:lpstr>
      <vt:lpstr>Hoja5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2023-10-23T04:21:10Z</dcterms:modified>
</cp:coreProperties>
</file>